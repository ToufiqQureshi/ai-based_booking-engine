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00" tabRatio="600" firstSheet="0" activeTab="5" autoFilterDateGrouping="1"/>
  </bookViews>
  <sheets>
    <sheet xmlns:r="http://schemas.openxmlformats.org/officeDocument/2006/relationships" name=" Issue Tracker" sheetId="1" state="visible" r:id="rId1"/>
    <sheet xmlns:r="http://schemas.openxmlformats.org/officeDocument/2006/relationships" name="Load &amp; Cost Scenarios" sheetId="2" state="visible" r:id="rId2"/>
    <sheet xmlns:r="http://schemas.openxmlformats.org/officeDocument/2006/relationships" name="CI-CD Pipeline" sheetId="3" state="visible" r:id="rId3"/>
    <sheet xmlns:r="http://schemas.openxmlformats.org/officeDocument/2006/relationships" name="Team &amp; Hiring" sheetId="4" state="visible" r:id="rId4"/>
    <sheet xmlns:r="http://schemas.openxmlformats.org/officeDocument/2006/relationships" name="Phase Plan" sheetId="5" state="visible" r:id="rId5"/>
    <sheet xmlns:r="http://schemas.openxmlformats.org/officeDocument/2006/relationships" name=" Priority Matrix" sheetId="6" state="visible" r:id="rId6"/>
    <sheet xmlns:r="http://schemas.openxmlformats.org/officeDocument/2006/relationships" name=" Dashboard" sheetId="7" state="visible" r:id="rId7"/>
    <sheet xmlns:r="http://schemas.openxmlformats.org/officeDocument/2006/relationships" name=" Timeframes" sheetId="8" state="visible" r:id="rId8"/>
    <sheet xmlns:r="http://schemas.openxmlformats.org/officeDocument/2006/relationships" name="How to Us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7F8C8D"/>
      <sz val="10"/>
    </font>
    <font>
      <name val="Arial"/>
      <b val="1"/>
      <color rgb="FFFFFFFF"/>
      <sz val="10"/>
    </font>
    <font>
      <name val="Arial"/>
      <b val="1"/>
      <color rgb="FF1B2A4A"/>
      <sz val="10"/>
    </font>
    <font>
      <name val="Arial"/>
      <color rgb="FF1B2A4A"/>
      <sz val="10"/>
    </font>
    <font>
      <name val="Arial"/>
      <color rgb="FF2C3E50"/>
      <sz val="10"/>
    </font>
    <font>
      <name val="Arial"/>
      <b val="1"/>
      <color rgb="FFFFFFFF"/>
      <sz val="14"/>
    </font>
    <font>
      <name val="Arial"/>
      <b val="1"/>
      <color rgb="FF1B2A4A"/>
      <sz val="9"/>
    </font>
    <font>
      <name val="Arial"/>
      <i val="1"/>
      <color rgb="FF7F8C8D"/>
      <sz val="9"/>
    </font>
    <font>
      <name val="Arial"/>
      <b val="1"/>
      <color rgb="FFFFFFFF"/>
      <sz val="11"/>
    </font>
    <font>
      <name val="Arial"/>
      <b val="1"/>
      <sz val="10"/>
    </font>
    <font>
      <name val="Arial"/>
      <sz val="10"/>
    </font>
    <font>
      <name val="Arial"/>
      <b val="1"/>
      <color rgb="FF2E5DA6"/>
      <sz val="10"/>
    </font>
    <font>
      <name val="Arial"/>
      <b val="1"/>
      <color rgb="FF1B2A4A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1"/>
    </font>
    <font>
      <name val="Arial"/>
      <b val="1"/>
      <color rgb="FF1F3864"/>
      <sz val="13"/>
    </font>
    <font>
      <name val="Arial"/>
      <b val="1"/>
      <color rgb="FF38761D"/>
      <sz val="10"/>
    </font>
  </fonts>
  <fills count="23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F0F3F8"/>
      </patternFill>
    </fill>
    <fill>
      <patternFill patternType="solid">
        <fgColor rgb="FF2E5DA6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F5F6FA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17A589"/>
      </patternFill>
    </fill>
    <fill>
      <patternFill patternType="solid">
        <fgColor rgb="FFD5D8DC"/>
      </patternFill>
    </fill>
    <fill>
      <patternFill patternType="solid">
        <fgColor rgb="FFC6D9F1"/>
      </patternFill>
    </fill>
    <fill>
      <patternFill patternType="solid">
        <fgColor rgb="FFF39C12"/>
      </patternFill>
    </fill>
    <fill>
      <patternFill patternType="solid">
        <fgColor rgb="FFF6B26B"/>
      </patternFill>
    </fill>
    <fill>
      <patternFill patternType="solid">
        <fgColor rgb="FFF4CCCC"/>
      </patternFill>
    </fill>
    <fill>
      <patternFill patternType="solid">
        <fgColor rgb="FFFFD966"/>
      </patternFill>
    </fill>
    <fill>
      <patternFill patternType="solid">
        <fgColor rgb="FFE06666"/>
      </patternFill>
    </fill>
    <fill>
      <patternFill patternType="solid">
        <fgColor rgb="FFD9EAD3"/>
      </patternFill>
    </fill>
    <fill>
      <patternFill patternType="solid">
        <fgColor rgb="FF93C47D"/>
      </patternFill>
    </fill>
  </fills>
  <borders count="7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1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4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top" wrapText="1"/>
    </xf>
    <xf numFmtId="0" fontId="4" fillId="5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left" vertical="top" wrapText="1"/>
    </xf>
    <xf numFmtId="0" fontId="5" fillId="5" borderId="6" applyAlignment="1" pivotButton="0" quotePrefix="0" xfId="0">
      <alignment horizontal="left" vertical="top" wrapText="1"/>
    </xf>
    <xf numFmtId="0" fontId="4" fillId="5" borderId="6" applyAlignment="1" pivotButton="0" quotePrefix="0" xfId="0">
      <alignment horizontal="left" vertical="top" wrapText="1"/>
    </xf>
    <xf numFmtId="0" fontId="4" fillId="17" borderId="6" applyAlignment="1" pivotButton="0" quotePrefix="0" xfId="0">
      <alignment horizontal="center" vertical="center" wrapText="1"/>
    </xf>
    <xf numFmtId="0" fontId="5" fillId="18" borderId="6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4" fillId="19" borderId="6" applyAlignment="1" pivotButton="0" quotePrefix="0" xfId="0">
      <alignment horizontal="center" vertical="center" wrapText="1"/>
    </xf>
    <xf numFmtId="0" fontId="4" fillId="20" borderId="6" applyAlignment="1" pivotButton="0" quotePrefix="0" xfId="0">
      <alignment horizontal="center" vertical="center" wrapText="1"/>
    </xf>
    <xf numFmtId="0" fontId="5" fillId="21" borderId="6" applyAlignment="1" pivotButton="0" quotePrefix="0" xfId="0">
      <alignment horizontal="center" vertical="center" wrapText="1"/>
    </xf>
    <xf numFmtId="0" fontId="4" fillId="22" borderId="6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1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2" fillId="0" borderId="6" applyAlignment="1" pivotButton="0" quotePrefix="0" xfId="0">
      <alignment horizontal="left" vertical="top" wrapText="1"/>
    </xf>
    <xf numFmtId="0" fontId="4" fillId="7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left" vertical="top" wrapText="1"/>
    </xf>
    <xf numFmtId="0" fontId="5" fillId="7" borderId="6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center" vertical="center" wrapText="1"/>
    </xf>
    <xf numFmtId="0" fontId="5" fillId="9" borderId="6" applyAlignment="1" pivotButton="0" quotePrefix="0" xfId="0">
      <alignment horizontal="left" vertical="top" wrapText="1"/>
    </xf>
    <xf numFmtId="0" fontId="5" fillId="9" borderId="6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5" fillId="11" borderId="6" applyAlignment="1" pivotButton="0" quotePrefix="0" xfId="0">
      <alignment horizontal="left" vertical="top" wrapText="1"/>
    </xf>
    <xf numFmtId="0" fontId="5" fillId="11" borderId="6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5" fillId="10" borderId="6" applyAlignment="1" pivotButton="0" quotePrefix="0" xfId="0">
      <alignment horizontal="left" vertical="top" wrapText="1"/>
    </xf>
    <xf numFmtId="0" fontId="5" fillId="10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6" borderId="6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left" vertical="top" wrapText="1"/>
    </xf>
    <xf numFmtId="0" fontId="5" fillId="8" borderId="6" applyAlignment="1" pivotButton="0" quotePrefix="0" xfId="0">
      <alignment horizontal="center" vertical="center" wrapText="1"/>
    </xf>
    <xf numFmtId="0" fontId="5" fillId="12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12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0" zoomScale="125" workbookViewId="0">
      <pane ySplit="3" topLeftCell="A4" activePane="bottomLeft" state="frozen"/>
      <selection pane="bottomLeft" activeCell="C5" sqref="C5"/>
    </sheetView>
  </sheetViews>
  <sheetFormatPr baseColWidth="10" defaultColWidth="8.83203125" defaultRowHeight="15"/>
  <cols>
    <col width="4" customWidth="1" style="52" min="1" max="1"/>
    <col width="14" customWidth="1" style="52" min="2" max="2"/>
    <col width="18" customWidth="1" style="52" min="3" max="3"/>
    <col width="38" customWidth="1" style="52" min="4" max="4"/>
    <col width="45" customWidth="1" style="52" min="5" max="5"/>
    <col width="35" customWidth="1" style="52" min="6" max="6"/>
    <col width="40" customWidth="1" style="52" min="7" max="7"/>
    <col width="12" customWidth="1" style="52" min="8" max="8"/>
    <col width="14" customWidth="1" style="52" min="9" max="9"/>
    <col width="18" customWidth="1" style="52" min="10" max="10"/>
    <col width="14" customWidth="1" style="52" min="11" max="13"/>
    <col width="38" customWidth="1" style="52" min="14" max="14"/>
    <col width="16" customWidth="1" style="52" min="15" max="15"/>
    <col width="28" customWidth="1" style="52" min="16" max="16"/>
  </cols>
  <sheetData>
    <row r="1" ht="36" customHeight="1" s="52">
      <c r="A1" s="51" t="inlineStr">
        <is>
          <t>🏨  Hotel Booking Engine — Issue &amp; Error Tracker</t>
        </is>
      </c>
    </row>
    <row r="2" ht="20" customHeight="1" s="52">
      <c r="A2" s="53" t="inlineStr">
        <is>
          <t>Status: 5 of 34 fixed already (incl. the critical AI-assistant restore) • 29 logged as a proactive hardening roadmap — latent risks that surface under live guest load, not current outages. Backend tests green (253 passed); CI/CD strengthened.</t>
        </is>
      </c>
    </row>
    <row r="3" ht="34" customHeight="1" s="52">
      <c r="A3" s="1" t="inlineStr">
        <is>
          <t>ID</t>
        </is>
      </c>
      <c r="B3" s="1" t="inlineStr">
        <is>
          <t>Phase</t>
        </is>
      </c>
      <c r="C3" s="1" t="inlineStr">
        <is>
          <t>Category</t>
        </is>
      </c>
      <c r="D3" s="1" t="inlineStr">
        <is>
          <t>Error / Issue</t>
        </is>
      </c>
      <c r="E3" s="1" t="inlineStr">
        <is>
          <t>Description</t>
        </is>
      </c>
      <c r="F3" s="1" t="inlineStr">
        <is>
          <t>Root Cause</t>
        </is>
      </c>
      <c r="G3" s="1" t="inlineStr">
        <is>
          <t>Recommended Fix</t>
        </is>
      </c>
      <c r="H3" s="1" t="inlineStr">
        <is>
          <t>Priority</t>
        </is>
      </c>
      <c r="I3" s="1" t="inlineStr">
        <is>
          <t>Status</t>
        </is>
      </c>
      <c r="J3" s="1" t="inlineStr">
        <is>
          <t>Assigned To</t>
        </is>
      </c>
      <c r="K3" s="1" t="inlineStr">
        <is>
          <t>Reported Date</t>
        </is>
      </c>
      <c r="L3" s="1" t="inlineStr">
        <is>
          <t>Target Date</t>
        </is>
      </c>
      <c r="M3" s="1" t="inlineStr">
        <is>
          <t>Resolved Date</t>
        </is>
      </c>
      <c r="N3" s="1" t="inlineStr">
        <is>
          <t>Resolution Notes</t>
        </is>
      </c>
      <c r="O3" s="1" t="inlineStr">
        <is>
          <t>Time to Fix (days)</t>
        </is>
      </c>
      <c r="P3" s="1" t="inlineStr">
        <is>
          <t>Remarks</t>
        </is>
      </c>
    </row>
    <row r="4" ht="100" customHeight="1" s="52">
      <c r="A4" s="63" t="inlineStr">
        <is>
          <t>BE-001</t>
        </is>
      </c>
      <c r="B4" s="64" t="inlineStr">
        <is>
          <t>Pre-Development</t>
        </is>
      </c>
      <c r="C4" s="65" t="inlineStr">
        <is>
          <t>AI / Cost Governance</t>
        </is>
      </c>
      <c r="D4" s="66" t="inlineStr">
        <is>
          <t>Define a per-hotel AI spend budget &amp; billing model</t>
        </is>
      </c>
      <c r="E4" s="65" t="inlineStr">
        <is>
          <t>Token usage is already recorded per hotel/day (ai_usage.py -&gt; Redis ai_tokens:{hotel}:{date}); what's missing is a budget ceiling, alert threshold and a bill pass-through decision.
⏱ When it surfaces: As paid AI usage grows across many live hotels.</t>
        </is>
      </c>
      <c r="F4" s="65" t="inlineStr">
        <is>
          <t>Cost governance was not defined as a requirement up front.</t>
        </is>
      </c>
      <c r="G4" s="65" t="inlineStr">
        <is>
          <t>Set a monthly AI ceiling per plan tier; alert on the existing counters; decide absorbed vs passed-through cost.</t>
        </is>
      </c>
      <c r="H4" s="67" t="inlineStr">
        <is>
          <t>High</t>
        </is>
      </c>
      <c r="I4" s="68" t="inlineStr">
        <is>
          <t>Open</t>
        </is>
      </c>
      <c r="J4" s="65" t="inlineStr">
        <is>
          <t>Tech Lead / Founder</t>
        </is>
      </c>
      <c r="K4" s="69" t="inlineStr">
        <is>
          <t>10/06/2026</t>
        </is>
      </c>
      <c r="L4" s="65" t="inlineStr"/>
      <c r="M4" s="69" t="inlineStr"/>
      <c r="N4" s="65" t="inlineStr"/>
      <c r="O4" s="70">
        <f>IF(AND(K4&lt;&gt;"",M4&lt;&gt;""),M4-K4,"")</f>
        <v/>
      </c>
      <c r="P4" s="65" t="inlineStr">
        <is>
          <t>Protects margin: prevents a slow, invisible LLM-cost creep from showing up only on the monthly invoice.</t>
        </is>
      </c>
    </row>
    <row r="5" ht="100" customHeight="1" s="52">
      <c r="A5" s="63" t="inlineStr">
        <is>
          <t>BE-002</t>
        </is>
      </c>
      <c r="B5" s="64" t="inlineStr">
        <is>
          <t>Pre-Development</t>
        </is>
      </c>
      <c r="C5" s="65" t="inlineStr">
        <is>
          <t>Infrastructure / Trust</t>
        </is>
      </c>
      <c r="D5" s="66" t="inlineStr">
        <is>
          <t>Pin the trusted reverse-proxy hop for client IP</t>
        </is>
      </c>
      <c r="E5" s="65" t="inlineStr">
        <is>
          <t>Rate limiting reads the first X-Forwarded-For value (limiter.py). Behind most proxies the client can set this header, so IP-based limits can be diluted.
⏱ When it surfaces: When someone deliberately rotates X-Forwarded-For to dodge limits.</t>
        </is>
      </c>
      <c r="F5" s="65" t="inlineStr">
        <is>
          <t>Deployment trust boundary (which proxy hop is trusted) is not yet pinned.</t>
        </is>
      </c>
      <c r="G5" s="65" t="inlineStr">
        <is>
          <t>Read the client IP from the verified proxy hop / CDN header; document the topology.</t>
        </is>
      </c>
      <c r="H5" s="67" t="inlineStr">
        <is>
          <t>High</t>
        </is>
      </c>
      <c r="I5" s="68" t="inlineStr">
        <is>
          <t>Open</t>
        </is>
      </c>
      <c r="J5" s="65" t="inlineStr">
        <is>
          <t>Tech Lead / Founder</t>
        </is>
      </c>
      <c r="K5" s="69" t="inlineStr">
        <is>
          <t>10/06/2026</t>
        </is>
      </c>
      <c r="L5" s="65" t="inlineStr"/>
      <c r="M5" s="69" t="inlineStr"/>
      <c r="N5" s="65" t="inlineStr"/>
      <c r="O5" s="70">
        <f>IF(AND(K5&lt;&gt;"",M5&lt;&gt;""),M5-K5,"")</f>
        <v/>
      </c>
      <c r="P5" s="65" t="inlineStr">
        <is>
          <t>Hardens every IP-based limit (login, booking, AI chat) against header spoofing.</t>
        </is>
      </c>
    </row>
    <row r="6" ht="100" customHeight="1" s="52">
      <c r="A6" s="63" t="inlineStr">
        <is>
          <t>BE-003</t>
        </is>
      </c>
      <c r="B6" s="64" t="inlineStr">
        <is>
          <t>Pre-Development</t>
        </is>
      </c>
      <c r="C6" s="65" t="inlineStr">
        <is>
          <t>Reliability / Design</t>
        </is>
      </c>
      <c r="D6" s="66" t="inlineStr">
        <is>
          <t>Decide fail-closed vs fail-open for Redis-backed controls</t>
        </is>
      </c>
      <c r="E6" s="65" t="inlineStr">
        <is>
          <t>_enforce_hotel_ai_quota and the limiter intentionally fail OPEN if Redis is unreachable so real guests aren't blocked — a deliberate availability choice that trades away cost protection during an outage.
⏱ When it surfaces: Only during a Redis outage coinciding with a traffic/abuse spike.</t>
        </is>
      </c>
      <c r="F6" s="65" t="inlineStr">
        <is>
          <t>Availability prioritised over cost-safety; no conservative fallback budget.</t>
        </is>
      </c>
      <c r="G6" s="65" t="inlineStr">
        <is>
          <t>Add a conservative in-process fallback cap for cost-bearing controls; alert on Redis health.</t>
        </is>
      </c>
      <c r="H6" s="71" t="inlineStr">
        <is>
          <t>Medium</t>
        </is>
      </c>
      <c r="I6" s="68" t="inlineStr">
        <is>
          <t>Open</t>
        </is>
      </c>
      <c r="J6" s="65" t="inlineStr">
        <is>
          <t>Tech Lead / Founder</t>
        </is>
      </c>
      <c r="K6" s="69" t="inlineStr">
        <is>
          <t>10/06/2026</t>
        </is>
      </c>
      <c r="L6" s="65" t="inlineStr"/>
      <c r="M6" s="69" t="inlineStr"/>
      <c r="N6" s="65" t="inlineStr"/>
      <c r="O6" s="70">
        <f>IF(AND(K6&lt;&gt;"",M6&lt;&gt;""),M6-K6,"")</f>
        <v/>
      </c>
      <c r="P6" s="65" t="inlineStr">
        <is>
          <t>Keeps a floor of abuse/cost protection even when Redis is briefly unavailable.</t>
        </is>
      </c>
    </row>
    <row r="7" ht="100" customHeight="1" s="52">
      <c r="A7" s="63" t="inlineStr">
        <is>
          <t>BE-004</t>
        </is>
      </c>
      <c r="B7" s="64" t="inlineStr">
        <is>
          <t>Pre-Development</t>
        </is>
      </c>
      <c r="C7" s="65" t="inlineStr">
        <is>
          <t>Capacity Planning</t>
        </is>
      </c>
      <c r="D7" s="66" t="inlineStr">
        <is>
          <t>Run the peak-load test before go-live</t>
        </is>
      </c>
      <c r="E7" s="65" t="inlineStr">
        <is>
          <t>A ready load-test script (scripts/load_test.py) and a sizing guide (SCALE_TUNING.md) exist; the test simply needs to be executed at expected peak and the pool/concurrency tuned to the result.
⏱ When it surfaces: At the first real high-traffic moment (sale, campaign, festival).</t>
        </is>
      </c>
      <c r="F7" s="65" t="inlineStr">
        <is>
          <t>Go-live checklist item still open.</t>
        </is>
      </c>
      <c r="G7" s="65" t="inlineStr">
        <is>
          <t>Run load_test.py on staging at expected peak; set WEB_CONCURRENCY and pool under the Supabase limit.</t>
        </is>
      </c>
      <c r="H7" s="67" t="inlineStr">
        <is>
          <t>High</t>
        </is>
      </c>
      <c r="I7" s="68" t="inlineStr">
        <is>
          <t>Open</t>
        </is>
      </c>
      <c r="J7" s="65" t="inlineStr">
        <is>
          <t>Tech Lead / Founder</t>
        </is>
      </c>
      <c r="K7" s="69" t="inlineStr">
        <is>
          <t>10/06/2026</t>
        </is>
      </c>
      <c r="L7" s="65" t="inlineStr"/>
      <c r="M7" s="69" t="inlineStr"/>
      <c r="N7" s="65" t="inlineStr"/>
      <c r="O7" s="70">
        <f>IF(AND(K7&lt;&gt;"",M7&lt;&gt;""),M7-K7,"")</f>
        <v/>
      </c>
      <c r="P7" s="65" t="inlineStr">
        <is>
          <t>Turns the scaling ceiling into a known number instead of discovering it during a live spike.</t>
        </is>
      </c>
    </row>
    <row r="8" ht="100" customHeight="1" s="52">
      <c r="A8" s="63" t="inlineStr">
        <is>
          <t>BE-005</t>
        </is>
      </c>
      <c r="B8" s="64" t="inlineStr">
        <is>
          <t>Pre-Development</t>
        </is>
      </c>
      <c r="C8" s="65" t="inlineStr">
        <is>
          <t>Capacity Planning</t>
        </is>
      </c>
      <c r="D8" s="66" t="inlineStr">
        <is>
          <t>Validate the DB connection budget for AI/streaming workloads</t>
        </is>
      </c>
      <c r="E8" s="65" t="inlineStr">
        <is>
          <t>Default pool is ~10 conns/worker. AI chat keeps a DB session open during the LLM call, so effective AI concurrency is lower than the raw pool math suggests.
⏱ When it surfaces: As concurrent AI chats rise across busy hotels.</t>
        </is>
      </c>
      <c r="F8" s="65" t="inlineStr">
        <is>
          <t>Connection math assumes short requests; long AI requests were not separately modelled.</t>
        </is>
      </c>
      <c r="G8" s="65" t="inlineStr">
        <is>
          <t>Model AI concurrency separately; size pool vs Supabase limit; combine with the streaming/session work below.</t>
        </is>
      </c>
      <c r="H8" s="71" t="inlineStr">
        <is>
          <t>Medium</t>
        </is>
      </c>
      <c r="I8" s="68" t="inlineStr">
        <is>
          <t>Open</t>
        </is>
      </c>
      <c r="J8" s="65" t="inlineStr">
        <is>
          <t>Tech Lead / Founder</t>
        </is>
      </c>
      <c r="K8" s="69" t="inlineStr">
        <is>
          <t>10/06/2026</t>
        </is>
      </c>
      <c r="L8" s="65" t="inlineStr"/>
      <c r="M8" s="69" t="inlineStr"/>
      <c r="N8" s="65" t="inlineStr"/>
      <c r="O8" s="70">
        <f>IF(AND(K8&lt;&gt;"",M8&lt;&gt;""),M8-K8,"")</f>
        <v/>
      </c>
      <c r="P8" s="65" t="inlineStr">
        <is>
          <t>Prevents connection-pool pressure from AI traffic affecting the rest of the API.</t>
        </is>
      </c>
    </row>
    <row r="9" ht="100" customHeight="1" s="52">
      <c r="A9" s="63" t="inlineStr">
        <is>
          <t>BE-006</t>
        </is>
      </c>
      <c r="B9" s="64" t="inlineStr">
        <is>
          <t>Pre-Development</t>
        </is>
      </c>
      <c r="C9" s="65" t="inlineStr">
        <is>
          <t>Team / Ownership</t>
        </is>
      </c>
      <c r="D9" s="66" t="inlineStr">
        <is>
          <t>Assign dedicated backend &amp; frontend engineering ownership</t>
        </is>
      </c>
      <c r="E9" s="65" t="inlineStr">
        <is>
          <t>The platform is large (~70 routers, 250+ endpoints, payments, multi-tenant, AI). Today there is no named owner for backend reliability or frontend UX/performance.
⏱ When it surfaces: Continuously — every unowned issue ages without a clear owner.</t>
        </is>
      </c>
      <c r="F9" s="65" t="inlineStr">
        <is>
          <t>Project scope outgrew the team.</t>
        </is>
      </c>
      <c r="G9" s="65" t="inlineStr">
        <is>
          <t>Hire 1 backend + 1 frontend engineer (scoped on the 'Team &amp; Hiring' sheet).</t>
        </is>
      </c>
      <c r="H9" s="67" t="inlineStr">
        <is>
          <t>High</t>
        </is>
      </c>
      <c r="I9" s="68" t="inlineStr">
        <is>
          <t>Open</t>
        </is>
      </c>
      <c r="J9" s="65" t="inlineStr">
        <is>
          <t>Tech Lead / Founder</t>
        </is>
      </c>
      <c r="K9" s="69" t="inlineStr">
        <is>
          <t>10/06/2026</t>
        </is>
      </c>
      <c r="L9" s="65" t="inlineStr"/>
      <c r="M9" s="69" t="inlineStr"/>
      <c r="N9" s="65" t="inlineStr"/>
      <c r="O9" s="70">
        <f>IF(AND(K9&lt;&gt;"",M9&lt;&gt;""),M9-K9,"")</f>
        <v/>
      </c>
      <c r="P9" s="65" t="inlineStr">
        <is>
          <t>Faster fixes, lower single-maintainer risk, and the Hypercare SLAs become achievable.</t>
        </is>
      </c>
    </row>
    <row r="10" ht="110" customHeight="1" s="52">
      <c r="A10" s="63" t="inlineStr">
        <is>
          <t>BE-007</t>
        </is>
      </c>
      <c r="B10" s="64" t="inlineStr">
        <is>
          <t>Development</t>
        </is>
      </c>
      <c r="C10" s="65" t="inlineStr">
        <is>
          <t>AI Agent / Bug</t>
        </is>
      </c>
      <c r="D10" s="66" t="inlineStr">
        <is>
          <t>Hotelier AI Assistant crashed on every message (missing logger)</t>
        </is>
      </c>
      <c r="E10" s="65" t="inlineStr">
        <is>
          <t>agent.py referenced a module-level `logger` (smart tool selector + settings fetch) that was never defined, so any non-empty query raised NameError and returned 500.
⏱ When it surfaces: Was firing on 100% of hotelier assistant messages.</t>
        </is>
      </c>
      <c r="F10" s="65" t="inlineStr">
        <is>
          <t>Missing logging.getLogger in app/core/agent.py.</t>
        </is>
      </c>
      <c r="G10" s="65" t="inlineStr">
        <is>
          <t>Add the module logger; add a regression smoke test on the tool-selector path.</t>
        </is>
      </c>
      <c r="H10" s="72" t="inlineStr">
        <is>
          <t>Critical</t>
        </is>
      </c>
      <c r="I10" s="73" t="inlineStr">
        <is>
          <t>Resolved</t>
        </is>
      </c>
      <c r="J10" s="65" t="inlineStr">
        <is>
          <t>Backend Dev</t>
        </is>
      </c>
      <c r="K10" s="69" t="inlineStr">
        <is>
          <t>10/06/2026</t>
        </is>
      </c>
      <c r="L10" s="65" t="inlineStr"/>
      <c r="M10" s="69" t="inlineStr">
        <is>
          <t>10/06/2026</t>
        </is>
      </c>
      <c r="N10" s="65" t="inlineStr">
        <is>
          <t>Added module-level logger in app/core/agent.py; added tests/test_ai_agent_smoke.py asserting the tool-selector path never raises NameError. Full suite green (253 passed).</t>
        </is>
      </c>
      <c r="O10" s="70">
        <f>IF(AND(K10&lt;&gt;"",M10&lt;&gt;""),M10-K10,"")</f>
        <v/>
      </c>
      <c r="P10" s="65" t="inlineStr">
        <is>
          <t>FIXED: the paid hotelier AI assistant is restored. This was the single biggest functional bug.</t>
        </is>
      </c>
    </row>
    <row r="11" ht="100" customHeight="1" s="52">
      <c r="A11" s="63" t="inlineStr">
        <is>
          <t>BE-008</t>
        </is>
      </c>
      <c r="B11" s="64" t="inlineStr">
        <is>
          <t>Development</t>
        </is>
      </c>
      <c r="C11" s="65" t="inlineStr">
        <is>
          <t>AI / Scaling</t>
        </is>
      </c>
      <c r="D11" s="66" t="inlineStr">
        <is>
          <t>AI chat holds a DB connection for the whole LLM round-trip</t>
        </is>
      </c>
      <c r="E11" s="65" t="inlineStr">
        <is>
          <t>chat.py/agent.py keep the request DB session open while agent.arun() runs (seconds, 1-2 calls) because the agent's tools query the DB mid-call.
⏱ When it surfaces: When many guests chat at the same time (e.g. a campaign).</t>
        </is>
      </c>
      <c r="F11" s="65" t="inlineStr">
        <is>
          <t>Request-scoped session spans the slow LLM I/O instead of using short per-tool sessions.</t>
        </is>
      </c>
      <c r="G11" s="65" t="inlineStr">
        <is>
          <t>Refactor tools to short-lived sessions / pre-fetch data and release the session before the model call.</t>
        </is>
      </c>
      <c r="H11" s="67" t="inlineStr">
        <is>
          <t>High</t>
        </is>
      </c>
      <c r="I11" s="68" t="inlineStr">
        <is>
          <t>Open</t>
        </is>
      </c>
      <c r="J11" s="65" t="inlineStr">
        <is>
          <t>Backend Dev</t>
        </is>
      </c>
      <c r="K11" s="69" t="inlineStr">
        <is>
          <t>10/06/2026</t>
        </is>
      </c>
      <c r="L11" s="65" t="inlineStr"/>
      <c r="M11" s="69" t="inlineStr"/>
      <c r="N11" s="65" t="inlineStr"/>
      <c r="O11" s="70">
        <f>IF(AND(K11&lt;&gt;"",M11&lt;&gt;""),M11-K11,"")</f>
        <v/>
      </c>
      <c r="P11" s="65" t="inlineStr">
        <is>
          <t>Once addressed, AI concurrency stops competing with the rest of the API for DB connections.</t>
        </is>
      </c>
    </row>
    <row r="12" ht="110" customHeight="1" s="52">
      <c r="A12" s="63" t="inlineStr">
        <is>
          <t>BE-009</t>
        </is>
      </c>
      <c r="B12" s="64" t="inlineStr">
        <is>
          <t>Development</t>
        </is>
      </c>
      <c r="C12" s="65" t="inlineStr">
        <is>
          <t>AI / Cost</t>
        </is>
      </c>
      <c r="D12" s="66" t="inlineStr">
        <is>
          <t>Error fallback escalated to the expensive 70B model</t>
        </is>
      </c>
      <c r="E12" s="65" t="inlineStr">
        <is>
          <t>On any guest-agent error, chat.py retried (without tools) and defaulted to llama-3.3-70b-versatile — pricier than the normal 8B path — after already paying for the failed call.
⏱ When it surfaces: During any transient provider/tool error, multiplied under load.</t>
        </is>
      </c>
      <c r="F12" s="65" t="inlineStr">
        <is>
          <t>Fallback defaulted to a large model.</t>
        </is>
      </c>
      <c r="G12" s="65" t="inlineStr">
        <is>
          <t>Keep the fallback on the cheap 8B model; single attempt.</t>
        </is>
      </c>
      <c r="H12" s="67" t="inlineStr">
        <is>
          <t>High</t>
        </is>
      </c>
      <c r="I12" s="73" t="inlineStr">
        <is>
          <t>Resolved</t>
        </is>
      </c>
      <c r="J12" s="65" t="inlineStr">
        <is>
          <t>Backend Dev</t>
        </is>
      </c>
      <c r="K12" s="69" t="inlineStr">
        <is>
          <t>10/06/2026</t>
        </is>
      </c>
      <c r="L12" s="65" t="inlineStr"/>
      <c r="M12" s="69" t="inlineStr">
        <is>
          <t>10/06/2026</t>
        </is>
      </c>
      <c r="N12" s="65" t="inlineStr">
        <is>
          <t>chat.py fallback now defaults to llama-3.1-8b-instant (cheap) instead of the 70B model.</t>
        </is>
      </c>
      <c r="O12" s="70">
        <f>IF(AND(K12&lt;&gt;"",M12&lt;&gt;""),M12-K12,"")</f>
        <v/>
      </c>
      <c r="P12" s="65" t="inlineStr">
        <is>
          <t>FIXED: error storms no longer cost ~2x and no longer jump to a costlier model.</t>
        </is>
      </c>
    </row>
    <row r="13" ht="110" customHeight="1" s="52">
      <c r="A13" s="63" t="inlineStr">
        <is>
          <t>BE-010</t>
        </is>
      </c>
      <c r="B13" s="64" t="inlineStr">
        <is>
          <t>Development</t>
        </is>
      </c>
      <c r="C13" s="65" t="inlineStr">
        <is>
          <t>AI / Reliability</t>
        </is>
      </c>
      <c r="D13" s="66" t="inlineStr">
        <is>
          <t>Web-search tool could block the worker (sync call, no timeout)</t>
        </is>
      </c>
      <c r="E13" s="65" t="inlineStr">
        <is>
          <t>agent.py search_web called DuckDuckGo synchronously on the event loop with no timeout.
⏱ When it surfaces: Whenever the hotelier asks a 'why' question that triggers web search and DDG is slow.</t>
        </is>
      </c>
      <c r="F13" s="65" t="inlineStr">
        <is>
          <t>Blocking external call with no SLA on the async loop.</t>
        </is>
      </c>
      <c r="G13" s="65" t="inlineStr">
        <is>
          <t>Run it in a thread with a hard timeout; degrade gracefully.</t>
        </is>
      </c>
      <c r="H13" s="67" t="inlineStr">
        <is>
          <t>High</t>
        </is>
      </c>
      <c r="I13" s="73" t="inlineStr">
        <is>
          <t>Resolved</t>
        </is>
      </c>
      <c r="J13" s="65" t="inlineStr">
        <is>
          <t>Backend Dev</t>
        </is>
      </c>
      <c r="K13" s="69" t="inlineStr">
        <is>
          <t>10/06/2026</t>
        </is>
      </c>
      <c r="L13" s="65" t="inlineStr"/>
      <c r="M13" s="69" t="inlineStr">
        <is>
          <t>10/06/2026</t>
        </is>
      </c>
      <c r="N13" s="65" t="inlineStr">
        <is>
          <t>search_web now uses asyncio.to_thread + asyncio.wait_for(8s) and returns a graceful message on timeout/failure.</t>
        </is>
      </c>
      <c r="O13" s="70">
        <f>IF(AND(K13&lt;&gt;"",M13&lt;&gt;""),M13-K13,"")</f>
        <v/>
      </c>
      <c r="P13" s="65" t="inlineStr">
        <is>
          <t>FIXED: a slow search can no longer stall the worker for other users.</t>
        </is>
      </c>
    </row>
    <row r="14" ht="100" customHeight="1" s="52">
      <c r="A14" s="63" t="inlineStr">
        <is>
          <t>BE-011</t>
        </is>
      </c>
      <c r="B14" s="64" t="inlineStr">
        <is>
          <t>Development</t>
        </is>
      </c>
      <c r="C14" s="65" t="inlineStr">
        <is>
          <t>AI / Authorization</t>
        </is>
      </c>
      <c r="D14" s="66" t="inlineStr">
        <is>
          <t>Make destructive AI actions confirm in code, not just in the prompt</t>
        </is>
      </c>
      <c r="E14" s="65" t="inlineStr">
        <is>
          <t>cancel_booking / update_room_price / create_promo_code rely on a prompt instruction to 'ask first'. Nothing in code enforces it, so a model slip or injected text could execute them.
⏱ When it surfaces: If a guest/hotelier message is crafted to trick the model, or the model mis-fires.</t>
        </is>
      </c>
      <c r="F14" s="65" t="inlineStr">
        <is>
          <t>Confirmation is a prompt convention, not a code gate.</t>
        </is>
      </c>
      <c r="G14" s="65" t="inlineStr">
        <is>
          <t>Require an explicit 2-step confirmation token in code before any mutating tool runs; gate price/promo behind OWNER/MANAGER.</t>
        </is>
      </c>
      <c r="H14" s="67" t="inlineStr">
        <is>
          <t>High</t>
        </is>
      </c>
      <c r="I14" s="68" t="inlineStr">
        <is>
          <t>Open</t>
        </is>
      </c>
      <c r="J14" s="65" t="inlineStr">
        <is>
          <t>Backend Dev</t>
        </is>
      </c>
      <c r="K14" s="69" t="inlineStr">
        <is>
          <t>10/06/2026</t>
        </is>
      </c>
      <c r="L14" s="65" t="inlineStr"/>
      <c r="M14" s="69" t="inlineStr"/>
      <c r="N14" s="65" t="inlineStr"/>
      <c r="O14" s="70">
        <f>IF(AND(K14&lt;&gt;"",M14&lt;&gt;""),M14-K14,"")</f>
        <v/>
      </c>
      <c r="P14" s="65" t="inlineStr">
        <is>
          <t>Hardening: removes the chance of an AI-initiated cancellation or rate change without a real confirmation. (Tenant scope already enforced.)</t>
        </is>
      </c>
    </row>
    <row r="15" ht="100" customHeight="1" s="52">
      <c r="A15" s="63" t="inlineStr">
        <is>
          <t>BE-012</t>
        </is>
      </c>
      <c r="B15" s="64" t="inlineStr">
        <is>
          <t>Development</t>
        </is>
      </c>
      <c r="C15" s="65" t="inlineStr">
        <is>
          <t>AI / Security</t>
        </is>
      </c>
      <c r="D15" s="66" t="inlineStr">
        <is>
          <t>Harden the bots against prompt injection</t>
        </is>
      </c>
      <c r="E15" s="65" t="inlineStr">
        <is>
          <t>Guest chat text reaches a tool-enabled LLM, and chain guest_history (incl. guest special_requests) is injected into the system prompt — a path for second-order injection.
⏱ When it surfaces: As real guests (and the occasional bad actor) type free-form messages.</t>
        </is>
      </c>
      <c r="F15" s="65" t="inlineStr">
        <is>
          <t>Untrusted text concatenated into prompts that can drive tools.</t>
        </is>
      </c>
      <c r="G15" s="65" t="inlineStr">
        <is>
          <t>Treat guest/stored text as untrusted; sanitise before insertion; keep public-bot tools read-only; add injection tests.</t>
        </is>
      </c>
      <c r="H15" s="71" t="inlineStr">
        <is>
          <t>Medium</t>
        </is>
      </c>
      <c r="I15" s="68" t="inlineStr">
        <is>
          <t>Open</t>
        </is>
      </c>
      <c r="J15" s="65" t="inlineStr">
        <is>
          <t>Backend Dev</t>
        </is>
      </c>
      <c r="K15" s="69" t="inlineStr">
        <is>
          <t>10/06/2026</t>
        </is>
      </c>
      <c r="L15" s="65" t="inlineStr"/>
      <c r="M15" s="69" t="inlineStr"/>
      <c r="N15" s="65" t="inlineStr"/>
      <c r="O15" s="70">
        <f>IF(AND(K15&lt;&gt;"",M15&lt;&gt;""),M15-K15,"")</f>
        <v/>
      </c>
      <c r="P15" s="65" t="inlineStr">
        <is>
          <t>Protects against the bot being steered to misquote prices/policies or reveal unintended info.</t>
        </is>
      </c>
    </row>
    <row r="16" ht="100" customHeight="1" s="52">
      <c r="A16" s="63" t="inlineStr">
        <is>
          <t>BE-013</t>
        </is>
      </c>
      <c r="B16" s="64" t="inlineStr">
        <is>
          <t>Development</t>
        </is>
      </c>
      <c r="C16" s="65" t="inlineStr">
        <is>
          <t>AI / Bookings</t>
        </is>
      </c>
      <c r="D16" s="66" t="inlineStr">
        <is>
          <t>Re-check availability inside AI quick-booking</t>
        </is>
      </c>
      <c r="E16" s="65" t="inlineStr">
        <is>
          <t>create_quick_booking writes a Booking without an inventory/overlap check (availability is a separate optional tool the model may skip).
⏱ When it surfaces: When the AI books a date range that's actually sold out.</t>
        </is>
      </c>
      <c r="F16" s="65" t="inlineStr">
        <is>
          <t>Booking tool does not re-validate availability atomically.</t>
        </is>
      </c>
      <c r="G16" s="65" t="inlineStr">
        <is>
          <t>Re-check availability inside create_quick_booking and reject on conflict.</t>
        </is>
      </c>
      <c r="H16" s="71" t="inlineStr">
        <is>
          <t>Medium</t>
        </is>
      </c>
      <c r="I16" s="68" t="inlineStr">
        <is>
          <t>Open</t>
        </is>
      </c>
      <c r="J16" s="65" t="inlineStr">
        <is>
          <t>Backend Dev</t>
        </is>
      </c>
      <c r="K16" s="69" t="inlineStr">
        <is>
          <t>10/06/2026</t>
        </is>
      </c>
      <c r="L16" s="65" t="inlineStr"/>
      <c r="M16" s="69" t="inlineStr"/>
      <c r="N16" s="65" t="inlineStr"/>
      <c r="O16" s="70">
        <f>IF(AND(K16&lt;&gt;"",M16&lt;&gt;""),M16-K16,"")</f>
        <v/>
      </c>
      <c r="P16" s="65" t="inlineStr">
        <is>
          <t>Prevents AI-driven overbooking and the resulting walk/compensation cost.</t>
        </is>
      </c>
    </row>
    <row r="17" ht="100" customHeight="1" s="52">
      <c r="A17" s="63" t="inlineStr">
        <is>
          <t>BE-014</t>
        </is>
      </c>
      <c r="B17" s="64" t="inlineStr">
        <is>
          <t>Development</t>
        </is>
      </c>
      <c r="C17" s="65" t="inlineStr">
        <is>
          <t>Performance</t>
        </is>
      </c>
      <c r="D17" s="66" t="inlineStr">
        <is>
          <t>Optimise availability counting (currently in-Python loops)</t>
        </is>
      </c>
      <c r="E17" s="65" t="inlineStr">
        <is>
          <t>check_availability does an O(bookings*rooms) Python loop over overlapping bookings (rooms are stored as a JSON array).
⏱ When it surfaces: On large/busy hotels with many overlapping bookings.</t>
        </is>
      </c>
      <c r="F17" s="65" t="inlineStr">
        <is>
          <t>In-memory aggregation; fine for small data, heavier as bookings grow.</t>
        </is>
      </c>
      <c r="G17" s="65" t="inlineStr">
        <is>
          <t>Pre-aggregate counts; ensure composite index on (hotel_id, status, dates).</t>
        </is>
      </c>
      <c r="H17" s="71" t="inlineStr">
        <is>
          <t>Medium</t>
        </is>
      </c>
      <c r="I17" s="68" t="inlineStr">
        <is>
          <t>Open</t>
        </is>
      </c>
      <c r="J17" s="65" t="inlineStr">
        <is>
          <t>Backend Dev</t>
        </is>
      </c>
      <c r="K17" s="69" t="inlineStr">
        <is>
          <t>10/06/2026</t>
        </is>
      </c>
      <c r="L17" s="65" t="inlineStr"/>
      <c r="M17" s="69" t="inlineStr"/>
      <c r="N17" s="65" t="inlineStr"/>
      <c r="O17" s="70">
        <f>IF(AND(K17&lt;&gt;"",M17&lt;&gt;""),M17-K17,"")</f>
        <v/>
      </c>
      <c r="P17" s="65" t="inlineStr">
        <is>
          <t>Keeps the booking funnel and concurrent chats fast as data volume grows.</t>
        </is>
      </c>
    </row>
    <row r="18" ht="100" customHeight="1" s="52">
      <c r="A18" s="63" t="inlineStr">
        <is>
          <t>BE-015</t>
        </is>
      </c>
      <c r="B18" s="64" t="inlineStr">
        <is>
          <t>Development</t>
        </is>
      </c>
      <c r="C18" s="65" t="inlineStr">
        <is>
          <t>AI / Accuracy</t>
        </is>
      </c>
      <c r="D18" s="66" t="inlineStr">
        <is>
          <t>Validate AI-quoted prices/policies against the DB</t>
        </is>
      </c>
      <c r="E18" s="65" t="inlineStr">
        <is>
          <t>The bots generate free text; tools exist but nothing guarantees a quoted price/policy exactly matches the DB. (Checkout already re-validates price server-side.)
⏱ When it surfaces: When a guest asks detailed price/policy questions and the model paraphrases.</t>
        </is>
      </c>
      <c r="F18" s="65" t="inlineStr">
        <is>
          <t>Generative output is not constrained to tool data.</t>
        </is>
      </c>
      <c r="G18" s="65" t="inlineStr">
        <is>
          <t>Post-check any price/availability the model states before sending it to the guest.</t>
        </is>
      </c>
      <c r="H18" s="71" t="inlineStr">
        <is>
          <t>Medium</t>
        </is>
      </c>
      <c r="I18" s="68" t="inlineStr">
        <is>
          <t>Open</t>
        </is>
      </c>
      <c r="J18" s="65" t="inlineStr">
        <is>
          <t>Backend Dev</t>
        </is>
      </c>
      <c r="K18" s="69" t="inlineStr">
        <is>
          <t>10/06/2026</t>
        </is>
      </c>
      <c r="L18" s="65" t="inlineStr"/>
      <c r="M18" s="69" t="inlineStr"/>
      <c r="N18" s="65" t="inlineStr"/>
      <c r="O18" s="70">
        <f>IF(AND(K18&lt;&gt;"",M18&lt;&gt;""),M18-K18,"")</f>
        <v/>
      </c>
      <c r="P18" s="65" t="inlineStr">
        <is>
          <t>Reduces the risk of a guest treating a wrong AI quote as a commitment.</t>
        </is>
      </c>
    </row>
    <row r="19" ht="100" customHeight="1" s="52">
      <c r="A19" s="63" t="inlineStr">
        <is>
          <t>BE-016</t>
        </is>
      </c>
      <c r="B19" s="64" t="inlineStr">
        <is>
          <t>Development</t>
        </is>
      </c>
      <c r="C19" s="65" t="inlineStr">
        <is>
          <t>AI / UX</t>
        </is>
      </c>
      <c r="D19" s="66" t="inlineStr">
        <is>
          <t>Make chart data flow through code, not model echo</t>
        </is>
      </c>
      <c r="E19" s="65" t="inlineStr">
        <is>
          <t>agent.py asks the model to echo [CHART_DATA] JSON verbatim; smaller models sometimes reword or drop it.
⏱ When it surfaces: Intermittently, depending on the model and prompt.</t>
        </is>
      </c>
      <c r="F19" s="65" t="inlineStr">
        <is>
          <t>Structured output delegated to model obedience.</t>
        </is>
      </c>
      <c r="G19" s="65" t="inlineStr">
        <is>
          <t>Return chart data via a dedicated field the UI reads directly.</t>
        </is>
      </c>
      <c r="H19" s="74" t="inlineStr">
        <is>
          <t>Low</t>
        </is>
      </c>
      <c r="I19" s="68" t="inlineStr">
        <is>
          <t>Open</t>
        </is>
      </c>
      <c r="J19" s="65" t="inlineStr">
        <is>
          <t>Backend Dev</t>
        </is>
      </c>
      <c r="K19" s="69" t="inlineStr">
        <is>
          <t>10/06/2026</t>
        </is>
      </c>
      <c r="L19" s="65" t="inlineStr"/>
      <c r="M19" s="69" t="inlineStr"/>
      <c r="N19" s="65" t="inlineStr"/>
      <c r="O19" s="70">
        <f>IF(AND(K19&lt;&gt;"",M19&lt;&gt;""),M19-K19,"")</f>
        <v/>
      </c>
      <c r="P19" s="65" t="inlineStr">
        <is>
          <t>Dashboard charts render reliably -&gt; hoteliers trust the analytics.</t>
        </is>
      </c>
    </row>
    <row r="20" ht="100" customHeight="1" s="52">
      <c r="A20" s="63" t="inlineStr">
        <is>
          <t>BE-017</t>
        </is>
      </c>
      <c r="B20" s="64" t="inlineStr">
        <is>
          <t>Development</t>
        </is>
      </c>
      <c r="C20" s="65" t="inlineStr">
        <is>
          <t>AI / Config</t>
        </is>
      </c>
      <c r="D20" s="66" t="inlineStr">
        <is>
          <t>Require explicit AI provider instead of key-prefix guessing</t>
        </is>
      </c>
      <c r="E20" s="65" t="inlineStr">
        <is>
          <t>Provider is inferred from key prefixes (gsk_/sk-/AIza); a custom gateway or new key format breaks selection.
⏱ When it surfaces: When a hotel rotates keys or uses a non-standard provider.</t>
        </is>
      </c>
      <c r="F20" s="65" t="inlineStr">
        <is>
          <t>Heuristic detection instead of explicit config.</t>
        </is>
      </c>
      <c r="G20" s="65" t="inlineStr">
        <is>
          <t>Require ai_provider; use prefix detection only as a logged last resort.</t>
        </is>
      </c>
      <c r="H20" s="74" t="inlineStr">
        <is>
          <t>Low</t>
        </is>
      </c>
      <c r="I20" s="68" t="inlineStr">
        <is>
          <t>Open</t>
        </is>
      </c>
      <c r="J20" s="65" t="inlineStr">
        <is>
          <t>Backend Dev</t>
        </is>
      </c>
      <c r="K20" s="69" t="inlineStr">
        <is>
          <t>10/06/2026</t>
        </is>
      </c>
      <c r="L20" s="65" t="inlineStr"/>
      <c r="M20" s="69" t="inlineStr"/>
      <c r="N20" s="65" t="inlineStr"/>
      <c r="O20" s="70">
        <f>IF(AND(K20&lt;&gt;"",M20&lt;&gt;""),M20-K20,"")</f>
        <v/>
      </c>
      <c r="P20" s="65" t="inlineStr">
        <is>
          <t>Avoids a hotel's AI silently routing to the wrong API after a key change.</t>
        </is>
      </c>
    </row>
    <row r="21" ht="100" customHeight="1" s="52">
      <c r="A21" s="63" t="inlineStr">
        <is>
          <t>BE-018</t>
        </is>
      </c>
      <c r="B21" s="64" t="inlineStr">
        <is>
          <t>Development</t>
        </is>
      </c>
      <c r="C21" s="65" t="inlineStr">
        <is>
          <t>AI / Cost</t>
        </is>
      </c>
      <c r="D21" s="66" t="inlineStr">
        <is>
          <t>Confirm model tiering for the hotelier assistant</t>
        </is>
      </c>
      <c r="E21" s="65" t="inlineStr">
        <is>
          <t>The hotelier assistant defaults to a 70B model. Policy allows a large model for the analytics agent; confirm whether general assistant traffic should use the cheap model with large reserved for heavy analytics.
⏱ When it surfaces: Linearly with hotelier assistant adoption.</t>
        </is>
      </c>
      <c r="F21" s="65" t="inlineStr">
        <is>
          <t>Default model choice vs cost policy needs a product decision.</t>
        </is>
      </c>
      <c r="G21" s="65" t="inlineStr">
        <is>
          <t>Default general queries to the cheap model; route only heavy analytics to 70B.</t>
        </is>
      </c>
      <c r="H21" s="74" t="inlineStr">
        <is>
          <t>Low</t>
        </is>
      </c>
      <c r="I21" s="68" t="inlineStr">
        <is>
          <t>Open</t>
        </is>
      </c>
      <c r="J21" s="65" t="inlineStr">
        <is>
          <t>Backend Dev</t>
        </is>
      </c>
      <c r="K21" s="69" t="inlineStr">
        <is>
          <t>10/06/2026</t>
        </is>
      </c>
      <c r="L21" s="65" t="inlineStr"/>
      <c r="M21" s="69" t="inlineStr"/>
      <c r="N21" s="65" t="inlineStr"/>
      <c r="O21" s="70">
        <f>IF(AND(K21&lt;&gt;"",M21&lt;&gt;""),M21-K21,"")</f>
        <v/>
      </c>
      <c r="P21" s="65" t="inlineStr">
        <is>
          <t>Optional cost optimisation; pairs with the AI-budget item.</t>
        </is>
      </c>
    </row>
    <row r="22" ht="110" customHeight="1" s="52">
      <c r="A22" s="63" t="inlineStr">
        <is>
          <t>BE-019</t>
        </is>
      </c>
      <c r="B22" s="64" t="inlineStr">
        <is>
          <t>Development</t>
        </is>
      </c>
      <c r="C22" s="65" t="inlineStr">
        <is>
          <t>Privacy / Logging</t>
        </is>
      </c>
      <c r="D22" s="66" t="inlineStr">
        <is>
          <t>Stop logging PII at INFO in the auth path</t>
        </is>
      </c>
      <c r="E22" s="65" t="inlineStr">
        <is>
          <t>deps.py logged email/supabase_id at INFO on several auth branches; policy is DEBUG-only / hashed.
⏱ When it surfaces: Continuously in production logs until changed.</t>
        </is>
      </c>
      <c r="F22" s="65" t="inlineStr">
        <is>
          <t>Verbose INFO logging of identifiers on the hot auth path.</t>
        </is>
      </c>
      <c r="G22" s="65" t="inlineStr">
        <is>
          <t>Drop to DEBUG / log non-PII identifiers; keep LOG_LEVEL=WARNING in prod.</t>
        </is>
      </c>
      <c r="H22" s="71" t="inlineStr">
        <is>
          <t>Medium</t>
        </is>
      </c>
      <c r="I22" s="73" t="inlineStr">
        <is>
          <t>Resolved</t>
        </is>
      </c>
      <c r="J22" s="65" t="inlineStr">
        <is>
          <t>Backend Dev</t>
        </is>
      </c>
      <c r="K22" s="69" t="inlineStr">
        <is>
          <t>10/06/2026</t>
        </is>
      </c>
      <c r="L22" s="65" t="inlineStr"/>
      <c r="M22" s="69" t="inlineStr">
        <is>
          <t>10/06/2026</t>
        </is>
      </c>
      <c r="N22" s="65" t="inlineStr">
        <is>
          <t>deps.py auth logs with email/supabase_id moved to DEBUG; master-admin promotion now logs user_id instead of email.</t>
        </is>
      </c>
      <c r="O22" s="70">
        <f>IF(AND(K22&lt;&gt;"",M22&lt;&gt;""),M22-K22,"")</f>
        <v/>
      </c>
      <c r="P22" s="65" t="inlineStr">
        <is>
          <t>FIXED: lowers PII exposure and log egress cost.</t>
        </is>
      </c>
    </row>
    <row r="23" ht="100" customHeight="1" s="52">
      <c r="A23" s="63" t="inlineStr">
        <is>
          <t>BE-020</t>
        </is>
      </c>
      <c r="B23" s="64" t="inlineStr">
        <is>
          <t>Development</t>
        </is>
      </c>
      <c r="C23" s="65" t="inlineStr">
        <is>
          <t>Reliability / SSE</t>
        </is>
      </c>
      <c r="D23" s="66" t="inlineStr">
        <is>
          <t>Add a max lifetime + disconnect check to streaming chat</t>
        </is>
      </c>
      <c r="E23" s="65" t="inlineStr">
        <is>
          <t>stream_guest_ai streams agent events with no overall timeout and holds the DB session for the whole stream; only tool_call_limit bounds it.
⏱ When it surfaces: With abandoned/idle streaming chats or deliberate slow clients.</t>
        </is>
      </c>
      <c r="F23" s="65" t="inlineStr">
        <is>
          <t>Missing max-duration and client-disconnect handling on the SSE generator.</t>
        </is>
      </c>
      <c r="G23" s="65" t="inlineStr">
        <is>
          <t>Add a hard stream lifetime + disconnect detection; release the session before streaming.</t>
        </is>
      </c>
      <c r="H23" s="71" t="inlineStr">
        <is>
          <t>Medium</t>
        </is>
      </c>
      <c r="I23" s="68" t="inlineStr">
        <is>
          <t>Open</t>
        </is>
      </c>
      <c r="J23" s="65" t="inlineStr">
        <is>
          <t>Backend Dev</t>
        </is>
      </c>
      <c r="K23" s="69" t="inlineStr">
        <is>
          <t>10/06/2026</t>
        </is>
      </c>
      <c r="L23" s="65" t="inlineStr"/>
      <c r="M23" s="69" t="inlineStr"/>
      <c r="N23" s="65" t="inlineStr"/>
      <c r="O23" s="70">
        <f>IF(AND(K23&lt;&gt;"",M23&lt;&gt;""),M23-K23,"")</f>
        <v/>
      </c>
      <c r="P23" s="65" t="inlineStr">
        <is>
          <t>Frees worker+DB resources held by dead streams; raises real concurrency.</t>
        </is>
      </c>
    </row>
    <row r="24" ht="100" customHeight="1" s="52">
      <c r="A24" s="63" t="inlineStr">
        <is>
          <t>BE-021</t>
        </is>
      </c>
      <c r="B24" s="64" t="inlineStr">
        <is>
          <t>Development</t>
        </is>
      </c>
      <c r="C24" s="65" t="inlineStr">
        <is>
          <t>Observability</t>
        </is>
      </c>
      <c r="D24" s="66" t="inlineStr">
        <is>
          <t>Strengthen AI usage accounting</t>
        </is>
      </c>
      <c r="E24" s="65" t="inlineStr">
        <is>
          <t>record_ai_usage swallows all errors and returns 0 if metrics/Redis are missing, so a failed run may record nothing.
⏱ When it surfaces: When Redis or metrics are briefly unavailable.</t>
        </is>
      </c>
      <c r="F24" s="65" t="inlineStr">
        <is>
          <t>Telemetry is best-effort with no fallback/alert.</t>
        </is>
      </c>
      <c r="G24" s="65" t="inlineStr">
        <is>
          <t>Emit a metric on accounting failures; keep a durable aggregate beyond Redis.</t>
        </is>
      </c>
      <c r="H24" s="74" t="inlineStr">
        <is>
          <t>Low</t>
        </is>
      </c>
      <c r="I24" s="68" t="inlineStr">
        <is>
          <t>Open</t>
        </is>
      </c>
      <c r="J24" s="65" t="inlineStr">
        <is>
          <t>Backend Dev</t>
        </is>
      </c>
      <c r="K24" s="69" t="inlineStr">
        <is>
          <t>10/06/2026</t>
        </is>
      </c>
      <c r="L24" s="65" t="inlineStr"/>
      <c r="M24" s="69" t="inlineStr"/>
      <c r="N24" s="65" t="inlineStr"/>
      <c r="O24" s="70">
        <f>IF(AND(K24&lt;&gt;"",M24&lt;&gt;""),M24-K24,"")</f>
        <v/>
      </c>
      <c r="P24" s="65" t="inlineStr">
        <is>
          <t>Keeps cost dashboards trustworthy so overspend isn't hidden.</t>
        </is>
      </c>
    </row>
    <row r="25" ht="110" customHeight="1" s="52">
      <c r="A25" s="63" t="inlineStr">
        <is>
          <t>BE-022</t>
        </is>
      </c>
      <c r="B25" s="64" t="inlineStr">
        <is>
          <t>Development</t>
        </is>
      </c>
      <c r="C25" s="65" t="inlineStr">
        <is>
          <t>Error Handling</t>
        </is>
      </c>
      <c r="D25" s="66" t="inlineStr">
        <is>
          <t>Stop returning raw exception text to clients</t>
        </is>
      </c>
      <c r="E25" s="65" t="inlineStr">
        <is>
          <t>The assistant endpoint returned HTTP 500 with detail=f'AI Agent Error: {str(e)}', leaking internal error text.
⏱ When it surfaces: On any unhandled agent error.</t>
        </is>
      </c>
      <c r="F25" s="65" t="inlineStr">
        <is>
          <t>Generic except surfaced internal detail in the response.</t>
        </is>
      </c>
      <c r="G25" s="65" t="inlineStr">
        <is>
          <t>Return a generic message; log detail server-side.</t>
        </is>
      </c>
      <c r="H25" s="71" t="inlineStr">
        <is>
          <t>Medium</t>
        </is>
      </c>
      <c r="I25" s="73" t="inlineStr">
        <is>
          <t>Resolved</t>
        </is>
      </c>
      <c r="J25" s="65" t="inlineStr">
        <is>
          <t>Backend Dev</t>
        </is>
      </c>
      <c r="K25" s="69" t="inlineStr">
        <is>
          <t>10/06/2026</t>
        </is>
      </c>
      <c r="L25" s="65" t="inlineStr"/>
      <c r="M25" s="69" t="inlineStr">
        <is>
          <t>10/06/2026</t>
        </is>
      </c>
      <c r="N25" s="65" t="inlineStr">
        <is>
          <t>api/v1/agent.py now returns generic 500/503 messages and logs full detail server-side with exc_info.</t>
        </is>
      </c>
      <c r="O25" s="70">
        <f>IF(AND(K25&lt;&gt;"",M25&lt;&gt;""),M25-K25,"")</f>
        <v/>
      </c>
      <c r="P25" s="65" t="inlineStr">
        <is>
          <t>FIXED: no internal stack/library detail leaks to callers.</t>
        </is>
      </c>
    </row>
    <row r="26" ht="100" customHeight="1" s="52">
      <c r="A26" s="63" t="inlineStr">
        <is>
          <t>BE-023</t>
        </is>
      </c>
      <c r="B26" s="64" t="inlineStr">
        <is>
          <t>Post-Development</t>
        </is>
      </c>
      <c r="C26" s="65" t="inlineStr">
        <is>
          <t>Scaling / Outage</t>
        </is>
      </c>
      <c r="D26" s="66" t="inlineStr">
        <is>
          <t>Protect against DB connection exhaustion under a traffic burst</t>
        </is>
      </c>
      <c r="E26" s="65" t="inlineStr">
        <is>
          <t>SCALE_TUNING.md flags Postgres connections as the #1 crash risk. A burst of page loads (search + availability + chat warm) on one popular hotel can pressure the pool (default ~10/worker).
⏱ When it surfaces: When ~100 users hit one hotel page at once (campaign/QR/sale).</t>
        </is>
      </c>
      <c r="F26" s="65" t="inlineStr">
        <is>
          <t>Small connection budget + AI requests holding connections longer.</t>
        </is>
      </c>
      <c r="G26" s="65" t="inlineStr">
        <is>
          <t>Right-size pool/concurrency under the Supabase limit; release sessions early; add a CDN/cache for public reads.</t>
        </is>
      </c>
      <c r="H26" s="67" t="inlineStr">
        <is>
          <t>High</t>
        </is>
      </c>
      <c r="I26" s="68" t="inlineStr">
        <is>
          <t>Open</t>
        </is>
      </c>
      <c r="J26" s="65" t="inlineStr">
        <is>
          <t>Backend Dev</t>
        </is>
      </c>
      <c r="K26" s="69" t="inlineStr">
        <is>
          <t>10/06/2026</t>
        </is>
      </c>
      <c r="L26" s="65" t="inlineStr"/>
      <c r="M26" s="69" t="inlineStr"/>
      <c r="N26" s="65" t="inlineStr"/>
      <c r="O26" s="70">
        <f>IF(AND(K26&lt;&gt;"",M26&lt;&gt;""),M26-K26,"")</f>
        <v/>
      </c>
      <c r="P26" s="65" t="inlineStr">
        <is>
          <t>Prevents one hotel's success from degrading the whole platform.</t>
        </is>
      </c>
    </row>
    <row r="27" ht="100" customHeight="1" s="52">
      <c r="A27" s="63" t="inlineStr">
        <is>
          <t>BE-024</t>
        </is>
      </c>
      <c r="B27" s="64" t="inlineStr">
        <is>
          <t>Post-Development</t>
        </is>
      </c>
      <c r="C27" s="65" t="inlineStr">
        <is>
          <t>Abuse / Cost</t>
        </is>
      </c>
      <c r="D27" s="66" t="inlineStr">
        <is>
          <t>Add a non-spoofable signal to the public AI chat</t>
        </is>
      </c>
      <c r="E27" s="65" t="inlineStr">
        <is>
          <t>chat/guest is anonymous; the 5/min IP limit is spoofable and the real cap is 1000 LLM calls/hotel/day (which fails open without Redis).
⏱ When it surfaces: If a bot targets the public widget, or it's left open and looping.</t>
        </is>
      </c>
      <c r="F27" s="65" t="inlineStr">
        <is>
          <t>Spoofable IP limit + fail-open quota on an unauthenticated, cost-bearing endpoint.</t>
        </is>
      </c>
      <c r="G27" s="65" t="inlineStr">
        <is>
          <t>Add a signed widget token / captcha, a fail-closed quota, and a platform-wide spend breaker.</t>
        </is>
      </c>
      <c r="H27" s="67" t="inlineStr">
        <is>
          <t>High</t>
        </is>
      </c>
      <c r="I27" s="68" t="inlineStr">
        <is>
          <t>Open</t>
        </is>
      </c>
      <c r="J27" s="65" t="inlineStr">
        <is>
          <t>Backend Dev</t>
        </is>
      </c>
      <c r="K27" s="69" t="inlineStr">
        <is>
          <t>10/06/2026</t>
        </is>
      </c>
      <c r="L27" s="65" t="inlineStr"/>
      <c r="M27" s="69" t="inlineStr"/>
      <c r="N27" s="65" t="inlineStr"/>
      <c r="O27" s="70">
        <f>IF(AND(K27&lt;&gt;"",M27&lt;&gt;""),M27-K27,"")</f>
        <v/>
      </c>
      <c r="P27" s="65" t="inlineStr">
        <is>
          <t>Caps the worst-case LLM bill from automated abuse of the public chat.</t>
        </is>
      </c>
    </row>
    <row r="28" ht="100" customHeight="1" s="52">
      <c r="A28" s="63" t="inlineStr">
        <is>
          <t>BE-025</t>
        </is>
      </c>
      <c r="B28" s="64" t="inlineStr">
        <is>
          <t>Post-Development</t>
        </is>
      </c>
      <c r="C28" s="65" t="inlineStr">
        <is>
          <t>Abuse / DoS</t>
        </is>
      </c>
      <c r="D28" s="66" t="inlineStr">
        <is>
          <t>Add a baseline rate limit to authenticated routes</t>
        </is>
      </c>
      <c r="E28" s="65" t="inlineStr">
        <is>
          <t>Login is on Supabase (no backend password endpoint), but most authenticated routes have no limiter, and invalid Bearer tokens are uncacheable so each forces a JWT verification.
⏱ When it surfaces: Under a deliberate token-flood.</t>
        </is>
      </c>
      <c r="F28" s="65" t="inlineStr">
        <is>
          <t>Rate limiting applied selectively; auth verify cost paid per garbage-token request.</t>
        </is>
      </c>
      <c r="G28" s="65" t="inlineStr">
        <is>
          <t>Add an IP+token baseline limit; short-cache negative verifications; alert on auth-error spikes.</t>
        </is>
      </c>
      <c r="H28" s="71" t="inlineStr">
        <is>
          <t>Medium</t>
        </is>
      </c>
      <c r="I28" s="68" t="inlineStr">
        <is>
          <t>Open</t>
        </is>
      </c>
      <c r="J28" s="65" t="inlineStr">
        <is>
          <t>Backend Dev</t>
        </is>
      </c>
      <c r="K28" s="69" t="inlineStr">
        <is>
          <t>10/06/2026</t>
        </is>
      </c>
      <c r="L28" s="65" t="inlineStr"/>
      <c r="M28" s="69" t="inlineStr"/>
      <c r="N28" s="65" t="inlineStr"/>
      <c r="O28" s="70">
        <f>IF(AND(K28&lt;&gt;"",M28&lt;&gt;""),M28-K28,"")</f>
        <v/>
      </c>
      <c r="P28" s="65" t="inlineStr">
        <is>
          <t>Keeps latency stable for real hoteliers during an auth-spam attempt.</t>
        </is>
      </c>
    </row>
    <row r="29" ht="100" customHeight="1" s="52">
      <c r="A29" s="63" t="inlineStr">
        <is>
          <t>BE-026</t>
        </is>
      </c>
      <c r="B29" s="64" t="inlineStr">
        <is>
          <t>Post-Development</t>
        </is>
      </c>
      <c r="C29" s="65" t="inlineStr">
        <is>
          <t>Reliability / SPOF</t>
        </is>
      </c>
      <c r="D29" s="66" t="inlineStr">
        <is>
          <t>Make Redis highly available</t>
        </is>
      </c>
      <c r="E29" s="65" t="inlineStr">
        <is>
          <t>Payment idempotency, rate limits, AI quota, auth cache and analytics caches all rely on a single Redis instance (SCALE_TUNING notes HA is needed before relying on it for payment idempotency).
⏱ When it surfaces: During any Redis outage.</t>
        </is>
      </c>
      <c r="F29" s="65" t="inlineStr">
        <is>
          <t>No Redis HA; several controls degrade on its loss.</t>
        </is>
      </c>
      <c r="G29" s="65" t="inlineStr">
        <is>
          <t>Move to managed HA Redis; define explicit degraded-mode behaviour per control.</t>
        </is>
      </c>
      <c r="H29" s="67" t="inlineStr">
        <is>
          <t>High</t>
        </is>
      </c>
      <c r="I29" s="68" t="inlineStr">
        <is>
          <t>Open</t>
        </is>
      </c>
      <c r="J29" s="65" t="inlineStr">
        <is>
          <t>Backend Dev</t>
        </is>
      </c>
      <c r="K29" s="69" t="inlineStr">
        <is>
          <t>10/06/2026</t>
        </is>
      </c>
      <c r="L29" s="65" t="inlineStr"/>
      <c r="M29" s="69" t="inlineStr"/>
      <c r="N29" s="65" t="inlineStr"/>
      <c r="O29" s="70">
        <f>IF(AND(K29&lt;&gt;"",M29&lt;&gt;""),M29-K29,"")</f>
        <v/>
      </c>
      <c r="P29" s="65" t="inlineStr">
        <is>
          <t>Removes a single point that simultaneously weakens abuse limits, AI quota and payment idempotency.</t>
        </is>
      </c>
    </row>
    <row r="30" ht="100" customHeight="1" s="52">
      <c r="A30" s="63" t="inlineStr">
        <is>
          <t>BE-027</t>
        </is>
      </c>
      <c r="B30" s="64" t="inlineStr">
        <is>
          <t>Post-Development</t>
        </is>
      </c>
      <c r="C30" s="65" t="inlineStr">
        <is>
          <t>Cost Monitoring</t>
        </is>
      </c>
      <c r="D30" s="66" t="inlineStr">
        <is>
          <t>Automate per-hotel AI spend alerting</t>
        </is>
      </c>
      <c r="E30" s="65" t="inlineStr">
        <is>
          <t>The ai_tokens counters exist but must be read manually; no threshold alert or auto-throttle.
⏱ When it surfaces: As AI usage scales and one hotel/bot spikes.</t>
        </is>
      </c>
      <c r="F30" s="65" t="inlineStr">
        <is>
          <t>Monitoring is manual.</t>
        </is>
      </c>
      <c r="G30" s="65" t="inlineStr">
        <is>
          <t>Add daily aggregation + alerts + optional auto-throttle at the tier budget.</t>
        </is>
      </c>
      <c r="H30" s="71" t="inlineStr">
        <is>
          <t>Medium</t>
        </is>
      </c>
      <c r="I30" s="68" t="inlineStr">
        <is>
          <t>Open</t>
        </is>
      </c>
      <c r="J30" s="65" t="inlineStr">
        <is>
          <t>Backend Dev</t>
        </is>
      </c>
      <c r="K30" s="69" t="inlineStr">
        <is>
          <t>10/06/2026</t>
        </is>
      </c>
      <c r="L30" s="65" t="inlineStr"/>
      <c r="M30" s="69" t="inlineStr"/>
      <c r="N30" s="65" t="inlineStr"/>
      <c r="O30" s="70">
        <f>IF(AND(K30&lt;&gt;"",M30&lt;&gt;""),M30-K30,"")</f>
        <v/>
      </c>
      <c r="P30" s="65" t="inlineStr">
        <is>
          <t>Overspend is caught in hours, not on the monthly invoice.</t>
        </is>
      </c>
    </row>
    <row r="31" ht="100" customHeight="1" s="52">
      <c r="A31" s="63" t="inlineStr">
        <is>
          <t>BE-028</t>
        </is>
      </c>
      <c r="B31" s="64" t="inlineStr">
        <is>
          <t>Post-Development</t>
        </is>
      </c>
      <c r="C31" s="65" t="inlineStr">
        <is>
          <t>Cost / Scale</t>
        </is>
      </c>
      <c r="D31" s="66" t="inlineStr">
        <is>
          <t>Raise AI cache hit-rate to flatten cost growth</t>
        </is>
      </c>
      <c r="E31" s="65" t="inlineStr">
        <is>
          <t>Each guest message is 1-2 LLM calls; only a short-TTL cache dedupes. Cost grows with visitor volume.
⏱ When it surfaces: As marketing succeeds and visitor numbers climb.</t>
        </is>
      </c>
      <c r="F31" s="65" t="inlineStr">
        <is>
          <t>Variable per-message LLM cost with limited dedup.</t>
        </is>
      </c>
      <c r="G31" s="65" t="inlineStr">
        <is>
          <t>Increase cache hit-rate, keep prompts/history tight (history already capped at 20), set a platform spend breaker.</t>
        </is>
      </c>
      <c r="H31" s="71" t="inlineStr">
        <is>
          <t>Medium</t>
        </is>
      </c>
      <c r="I31" s="68" t="inlineStr">
        <is>
          <t>Open</t>
        </is>
      </c>
      <c r="J31" s="65" t="inlineStr">
        <is>
          <t>Backend Dev</t>
        </is>
      </c>
      <c r="K31" s="69" t="inlineStr">
        <is>
          <t>10/06/2026</t>
        </is>
      </c>
      <c r="L31" s="65" t="inlineStr"/>
      <c r="M31" s="69" t="inlineStr"/>
      <c r="N31" s="65" t="inlineStr"/>
      <c r="O31" s="70">
        <f>IF(AND(K31&lt;&gt;"",M31&lt;&gt;""),M31-K31,"")</f>
        <v/>
      </c>
      <c r="P31" s="65" t="inlineStr">
        <is>
          <t>Keeps AI cost growing slower than traffic.</t>
        </is>
      </c>
    </row>
    <row r="32" ht="100" customHeight="1" s="52">
      <c r="A32" s="63" t="inlineStr">
        <is>
          <t>BE-029</t>
        </is>
      </c>
      <c r="B32" s="64" t="inlineStr">
        <is>
          <t>Post-Development</t>
        </is>
      </c>
      <c r="C32" s="65" t="inlineStr">
        <is>
          <t>External Dependencies</t>
        </is>
      </c>
      <c r="D32" s="66" t="inlineStr">
        <is>
          <t>Add timeouts/retries + alerting to third-party calls</t>
        </is>
      </c>
      <c r="E32" s="65" t="inlineStr">
        <is>
          <t>Weather, DuckDuckGo, Razorpay, Google Sheets (fire-and-forget) and Meta can fail; some failures are swallowed (sheet sync), losing data silently.
⏱ When it surfaces: During any provider outage or slowdown.</t>
        </is>
      </c>
      <c r="F32" s="65" t="inlineStr">
        <is>
          <t>No circuit breakers/retries; fire-and-forget drops failures.</t>
        </is>
      </c>
      <c r="G32" s="65" t="inlineStr">
        <is>
          <t>Add timeouts, retries with backoff, and a dead-letter/alert for failed syncs.</t>
        </is>
      </c>
      <c r="H32" s="71" t="inlineStr">
        <is>
          <t>Medium</t>
        </is>
      </c>
      <c r="I32" s="68" t="inlineStr">
        <is>
          <t>Open</t>
        </is>
      </c>
      <c r="J32" s="65" t="inlineStr">
        <is>
          <t>Backend Dev</t>
        </is>
      </c>
      <c r="K32" s="69" t="inlineStr">
        <is>
          <t>10/06/2026</t>
        </is>
      </c>
      <c r="L32" s="65" t="inlineStr"/>
      <c r="M32" s="69" t="inlineStr"/>
      <c r="N32" s="65" t="inlineStr"/>
      <c r="O32" s="70">
        <f>IF(AND(K32&lt;&gt;"",M32&lt;&gt;""),M32-K32,"")</f>
        <v/>
      </c>
      <c r="P32" s="65" t="inlineStr">
        <is>
          <t>Prevents silent lead-data loss and provider-outage error spikes for guests.</t>
        </is>
      </c>
    </row>
    <row r="33" ht="100" customHeight="1" s="52">
      <c r="A33" s="63" t="inlineStr">
        <is>
          <t>BE-030</t>
        </is>
      </c>
      <c r="B33" s="64" t="inlineStr">
        <is>
          <t>Post-Development</t>
        </is>
      </c>
      <c r="C33" s="65" t="inlineStr">
        <is>
          <t>Data Quality</t>
        </is>
      </c>
      <c r="D33" s="66" t="inlineStr">
        <is>
          <t>Validate ingested competitor rates (rate-shopper)</t>
        </is>
      </c>
      <c r="E33" s="65" t="inlineStr">
        <is>
          <t>Rate-shopping data comes from the Chrome extension; if it stalls or sends bad data, pricing advice rests on stale/garbage rates.
⏱ When it surfaces: When the scraper breaks or a competitor site changes.</t>
        </is>
      </c>
      <c r="F33" s="65" t="inlineStr">
        <is>
          <t>External ingestion with limited validation.</t>
        </is>
      </c>
      <c r="G33" s="65" t="inlineStr">
        <is>
          <t>Validate/timestamp ingested rates; flag stale data; bound ingestion volume.</t>
        </is>
      </c>
      <c r="H33" s="71" t="inlineStr">
        <is>
          <t>Medium</t>
        </is>
      </c>
      <c r="I33" s="68" t="inlineStr">
        <is>
          <t>Open</t>
        </is>
      </c>
      <c r="J33" s="65" t="inlineStr">
        <is>
          <t>Backend Dev</t>
        </is>
      </c>
      <c r="K33" s="69" t="inlineStr">
        <is>
          <t>10/06/2026</t>
        </is>
      </c>
      <c r="L33" s="65" t="inlineStr"/>
      <c r="M33" s="69" t="inlineStr"/>
      <c r="N33" s="65" t="inlineStr"/>
      <c r="O33" s="70">
        <f>IF(AND(K33&lt;&gt;"",M33&lt;&gt;""),M33-K33,"")</f>
        <v/>
      </c>
      <c r="P33" s="65" t="inlineStr">
        <is>
          <t>Keeps AI pricing recommendations based on fresh, sane data.</t>
        </is>
      </c>
    </row>
    <row r="34" ht="100" customHeight="1" s="52">
      <c r="A34" s="63" t="inlineStr">
        <is>
          <t>BE-031</t>
        </is>
      </c>
      <c r="B34" s="64" t="inlineStr">
        <is>
          <t>Post-Development</t>
        </is>
      </c>
      <c r="C34" s="65" t="inlineStr">
        <is>
          <t>Payments / Security</t>
        </is>
      </c>
      <c r="D34" s="66" t="inlineStr">
        <is>
          <t>Keep payment webhook signature verification locked down</t>
        </is>
      </c>
      <c r="E34" s="65" t="inlineStr">
        <is>
          <t>Payment confirmation trusts HMAC-verified webhooks (Razorpay/Meta). This must stay correct as code evolves.
⏱ When it surfaces: Only if a future change weakens verification.</t>
        </is>
      </c>
      <c r="F34" s="65" t="inlineStr">
        <is>
          <t>Security-critical path that must not regress.</t>
        </is>
      </c>
      <c r="G34" s="65" t="inlineStr">
        <is>
          <t>Add tests asserting signature rejection; alert on verification failures; keep strict per-hotel keys.</t>
        </is>
      </c>
      <c r="H34" s="67" t="inlineStr">
        <is>
          <t>High</t>
        </is>
      </c>
      <c r="I34" s="68" t="inlineStr">
        <is>
          <t>Open</t>
        </is>
      </c>
      <c r="J34" s="65" t="inlineStr">
        <is>
          <t>Backend Dev</t>
        </is>
      </c>
      <c r="K34" s="69" t="inlineStr">
        <is>
          <t>10/06/2026</t>
        </is>
      </c>
      <c r="L34" s="65" t="inlineStr"/>
      <c r="M34" s="69" t="inlineStr"/>
      <c r="N34" s="65" t="inlineStr"/>
      <c r="O34" s="70">
        <f>IF(AND(K34&lt;&gt;"",M34&lt;&gt;""),M34-K34,"")</f>
        <v/>
      </c>
      <c r="P34" s="65" t="inlineStr">
        <is>
          <t>Protects directly against spoofed 'paid' events / financial loss.</t>
        </is>
      </c>
    </row>
    <row r="35" ht="100" customHeight="1" s="52">
      <c r="A35" s="63" t="inlineStr">
        <is>
          <t>BE-032</t>
        </is>
      </c>
      <c r="B35" s="64" t="inlineStr">
        <is>
          <t>Post-Development</t>
        </is>
      </c>
      <c r="C35" s="65" t="inlineStr">
        <is>
          <t>Multi-tenancy</t>
        </is>
      </c>
      <c r="D35" s="66" t="inlineStr">
        <is>
          <t>Add automated tests for tenant isolation in AI tools</t>
        </is>
      </c>
      <c r="E35" s="65" t="inlineStr">
        <is>
          <t>AI tools filter by user.hotel_id today; a future tool that forgets the filter would leak/modify another hotel's data.
⏱ When it surfaces: Only if a future tool drops the hotel_id filter.</t>
        </is>
      </c>
      <c r="F35" s="65" t="inlineStr">
        <is>
          <t>Isolation enforced per-query; easy to miss on new tools.</t>
        </is>
      </c>
      <c r="G35" s="65" t="inlineStr">
        <is>
          <t>Add a shared tenant-scoping helper + tests asserting cross-hotel access is blocked for every AI tool.</t>
        </is>
      </c>
      <c r="H35" s="67" t="inlineStr">
        <is>
          <t>High</t>
        </is>
      </c>
      <c r="I35" s="68" t="inlineStr">
        <is>
          <t>Open</t>
        </is>
      </c>
      <c r="J35" s="65" t="inlineStr">
        <is>
          <t>Backend Dev</t>
        </is>
      </c>
      <c r="K35" s="69" t="inlineStr">
        <is>
          <t>10/06/2026</t>
        </is>
      </c>
      <c r="L35" s="65" t="inlineStr"/>
      <c r="M35" s="69" t="inlineStr"/>
      <c r="N35" s="65" t="inlineStr"/>
      <c r="O35" s="70">
        <f>IF(AND(K35&lt;&gt;"",M35&lt;&gt;""),M35-K35,"")</f>
        <v/>
      </c>
      <c r="P35" s="65" t="inlineStr">
        <is>
          <t>Locks in the core 'one hotel never sees another' guarantee against regressions.</t>
        </is>
      </c>
    </row>
    <row r="36" ht="100" customHeight="1" s="52">
      <c r="A36" s="63" t="inlineStr">
        <is>
          <t>BE-033</t>
        </is>
      </c>
      <c r="B36" s="64" t="inlineStr">
        <is>
          <t>Post-Development</t>
        </is>
      </c>
      <c r="C36" s="65" t="inlineStr">
        <is>
          <t>Memory / Cost</t>
        </is>
      </c>
      <c r="D36" s="66" t="inlineStr">
        <is>
          <t>Offload report/PDF generation to a background worker</t>
        </is>
      </c>
      <c r="E36" s="65" t="inlineStr">
        <is>
          <t>Reports load pandas/matplotlib/reportlab (lazy but heavy) in-request; concurrent exports inflate per-worker RAM.
⏱ When it surfaces: When several hoteliers export analytics at once on a small box.</t>
        </is>
      </c>
      <c r="F36" s="65" t="inlineStr">
        <is>
          <t>Heavy, CPU/RAM-intensive work done in the request path.</t>
        </is>
      </c>
      <c r="G36" s="65" t="inlineStr">
        <is>
          <t>Move generation to a background worker/queue; cap concurrency.</t>
        </is>
      </c>
      <c r="H36" s="71" t="inlineStr">
        <is>
          <t>Medium</t>
        </is>
      </c>
      <c r="I36" s="68" t="inlineStr">
        <is>
          <t>Open</t>
        </is>
      </c>
      <c r="J36" s="65" t="inlineStr">
        <is>
          <t>Backend Dev</t>
        </is>
      </c>
      <c r="K36" s="69" t="inlineStr">
        <is>
          <t>10/06/2026</t>
        </is>
      </c>
      <c r="L36" s="65" t="inlineStr"/>
      <c r="M36" s="69" t="inlineStr"/>
      <c r="N36" s="65" t="inlineStr"/>
      <c r="O36" s="70">
        <f>IF(AND(K36&lt;&gt;"",M36&lt;&gt;""),M36-K36,"")</f>
        <v/>
      </c>
      <c r="P36" s="65" t="inlineStr">
        <is>
          <t>Avoids worker OOM/restarts dropping in-flight requests.</t>
        </is>
      </c>
    </row>
    <row r="37" ht="100" customHeight="1" s="52">
      <c r="A37" s="63" t="inlineStr">
        <is>
          <t>BE-034</t>
        </is>
      </c>
      <c r="B37" s="64" t="inlineStr">
        <is>
          <t>Post-Development</t>
        </is>
      </c>
      <c r="C37" s="65" t="inlineStr">
        <is>
          <t>Monitoring</t>
        </is>
      </c>
      <c r="D37" s="66" t="inlineStr">
        <is>
          <t>Alert when the AI falls back to its canned error message</t>
        </is>
      </c>
      <c r="E37" s="65" t="inlineStr">
        <is>
          <t>On failure the bots return friendly text and log the error; without alerting, sustained failures look like normal traffic.
⏱ When it surfaces: During a quiet AI/provider outage.</t>
        </is>
      </c>
      <c r="F37" s="65" t="inlineStr">
        <is>
          <t>Graceful degradation without a paired alert.</t>
        </is>
      </c>
      <c r="G37" s="65" t="inlineStr">
        <is>
          <t>Emit an error metric whenever the canned fallback fires; alert on rate.</t>
        </is>
      </c>
      <c r="H37" s="74" t="inlineStr">
        <is>
          <t>Low</t>
        </is>
      </c>
      <c r="I37" s="68" t="inlineStr">
        <is>
          <t>Open</t>
        </is>
      </c>
      <c r="J37" s="65" t="inlineStr">
        <is>
          <t>Backend Dev</t>
        </is>
      </c>
      <c r="K37" s="69" t="inlineStr">
        <is>
          <t>10/06/2026</t>
        </is>
      </c>
      <c r="L37" s="65" t="inlineStr"/>
      <c r="M37" s="69" t="inlineStr"/>
      <c r="N37" s="65" t="inlineStr"/>
      <c r="O37" s="70">
        <f>IF(AND(K37&lt;&gt;"",M37&lt;&gt;""),M37-K37,"")</f>
        <v/>
      </c>
      <c r="P37" s="65" t="inlineStr">
        <is>
          <t>The AI can't be silently down for hours; issues surface before customers complain.</t>
        </is>
      </c>
    </row>
  </sheetData>
  <mergeCells count="2">
    <mergeCell ref="A1:P1"/>
    <mergeCell ref="A2:P2"/>
  </mergeCells>
  <dataValidations count="3">
    <dataValidation sqref="B4:B200" showDropDown="0" showInputMessage="0" showErrorMessage="0" allowBlank="0" type="list">
      <formula1>"Pre-Development,Development,Post-Development"</formula1>
    </dataValidation>
    <dataValidation sqref="H4:H200" showDropDown="0" showInputMessage="0" showErrorMessage="0" allowBlank="0" type="list">
      <formula1>"Critical,High,Medium,Low"</formula1>
    </dataValidation>
    <dataValidation sqref="I4:I200" showDropDown="0" showInputMessage="0" showErrorMessage="0" allowBlank="0" type="list">
      <formula1>"Open,In Progress,Blocked,Resolved,Closed,Deferred"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52" min="1" max="1"/>
    <col width="30" customWidth="1" style="52" min="2" max="2"/>
    <col width="44" customWidth="1" style="52" min="3" max="3"/>
    <col width="38" customWidth="1" style="52" min="4" max="4"/>
    <col width="34" customWidth="1" style="52" min="5" max="5"/>
    <col width="44" customWidth="1" style="52" min="6" max="6"/>
  </cols>
  <sheetData>
    <row r="1">
      <c r="A1" s="75" t="inlineStr">
        <is>
          <t>⚡ Load, Abuse &amp; Cloud-Cost Scenarios — 'what happens if…'</t>
        </is>
      </c>
    </row>
    <row r="2">
      <c r="A2" s="76" t="inlineStr">
        <is>
          <t>Scenario</t>
        </is>
      </c>
      <c r="B2" s="76" t="inlineStr">
        <is>
          <t>Trigger</t>
        </is>
      </c>
      <c r="C2" s="76" t="inlineStr">
        <is>
          <t>What happens technically (code-grounded)</t>
        </is>
      </c>
      <c r="D2" s="76" t="inlineStr">
        <is>
          <t>Business impact</t>
        </is>
      </c>
      <c r="E2" s="76" t="inlineStr">
        <is>
          <t>Current safeguard</t>
        </is>
      </c>
      <c r="F2" s="76" t="inlineStr">
        <is>
          <t>Recommended hardening</t>
        </is>
      </c>
    </row>
    <row r="3" ht="120" customHeight="1" s="52">
      <c r="A3" s="77" t="inlineStr">
        <is>
          <t>100 users on one hotel page at once</t>
        </is>
      </c>
      <c r="B3" s="77" t="inlineStr">
        <is>
          <t>Campaign/QR/sale drives a burst to one page.</t>
        </is>
      </c>
      <c r="C3" s="77" t="inlineStr">
        <is>
          <t>Each visit can fire room search + availability + AI widget warm. Availability counts in Python; AI chat holds a DB connection for the whole LLM call. Default pool ~10/worker.</t>
        </is>
      </c>
      <c r="D3" s="77" t="inlineStr">
        <is>
          <t>If the pool saturates, requests queue/timeout -&gt; 500s for ALL hotels until it drains.</t>
        </is>
      </c>
      <c r="E3" s="77" t="inlineStr">
        <is>
          <t>Per-worker pool, lazy heavy imports, short caches, documented connection math, 60-120/min public read limits.</t>
        </is>
      </c>
      <c r="F3" s="77" t="inlineStr">
        <is>
          <t>Release DB session before the LLM call; CDN/cache public reads; right-size pool/concurrency; run the load test.</t>
        </is>
      </c>
    </row>
    <row r="4" ht="120" customHeight="1" s="52">
      <c r="A4" s="77" t="inlineStr">
        <is>
          <t>Bot spams the public AI chat</t>
        </is>
      </c>
      <c r="B4" s="77" t="inlineStr">
        <is>
          <t>Anonymous attacker scripts the widget, rotating X-Forwarded-For.</t>
        </is>
      </c>
      <c r="C4" s="77" t="inlineStr">
        <is>
          <t>5/min IP limit is spoofable; backstop is 1000 LLM calls/hotel/day, which fails open without Redis. Each message = 1-2 LLM calls.</t>
        </is>
      </c>
      <c r="D4" s="77" t="inlineStr">
        <is>
          <t>Worst-case a few $/day of LLM per targeted hotel; bounded by the daily cap unless Redis is down.</t>
        </is>
      </c>
      <c r="E4" s="77" t="inlineStr">
        <is>
          <t>Per-hotel daily cap (1000), feature flag, cheap 8B model, token accounting, fixed cheap fallback.</t>
        </is>
      </c>
      <c r="F4" s="77" t="inlineStr">
        <is>
          <t>Signed widget token/captcha; fail-closed quota; platform-wide spend breaker.</t>
        </is>
      </c>
    </row>
    <row r="5" ht="120" customHeight="1" s="52">
      <c r="A5" s="77" t="inlineStr">
        <is>
          <t>Someone spams the backend auth</t>
        </is>
      </c>
      <c r="B5" s="77" t="inlineStr">
        <is>
          <t>Flood of authenticated routes with garbage Bearer tokens.</t>
        </is>
      </c>
      <c r="C5" s="77" t="inlineStr">
        <is>
          <t>Login is on Supabase (no backend password endpoint). Invalid tokens are uncacheable so each runs a JWT verify; most authed routes have no rate limit.</t>
        </is>
      </c>
      <c r="D5" s="77" t="inlineStr">
        <is>
          <t>CPU + Supabase auth load climb; latency degrades for real hoteliers.</t>
        </is>
      </c>
      <c r="E5" s="77" t="inlineStr">
        <is>
          <t>Valid-token payload caching; active-session tracking; Supabase verifies signature+exp; PII now logged at DEBUG.</t>
        </is>
      </c>
      <c r="F5" s="77" t="inlineStr">
        <is>
          <t>Baseline IP+token limit on authed routes; short negative-cache; alert on auth-error spikes.</t>
        </is>
      </c>
    </row>
    <row r="6" ht="120" customHeight="1" s="52">
      <c r="A6" s="77" t="inlineStr">
        <is>
          <t>Redis goes down</t>
        </is>
      </c>
      <c r="B6" s="77" t="inlineStr">
        <is>
          <t>Single Redis instance restarts/blips.</t>
        </is>
      </c>
      <c r="C6" s="77" t="inlineStr">
        <is>
          <t>Rate limits, AI quota, auth cache, slug/analytics caches and payment idempotency degrade; quota+limits fail open.</t>
        </is>
      </c>
      <c r="D6" s="77" t="inlineStr">
        <is>
          <t>Abuse/cost protection drops; payment idempotency loss risks double-charges.</t>
        </is>
      </c>
      <c r="E6" s="77" t="inlineStr">
        <is>
          <t>Best-effort try/except keeps the app serving.</t>
        </is>
      </c>
      <c r="F6" s="77" t="inlineStr">
        <is>
          <t>Managed HA Redis; explicit fail-closed for cost/payment controls; Redis health alerting.</t>
        </is>
      </c>
    </row>
    <row r="7" ht="120" customHeight="1" s="52">
      <c r="A7" s="77" t="inlineStr">
        <is>
          <t>AI adoption grows (marketing works)</t>
        </is>
      </c>
      <c r="B7" s="77" t="inlineStr">
        <is>
          <t>More guests use the concierge across more hotels.</t>
        </is>
      </c>
      <c r="C7" s="77" t="inlineStr">
        <is>
          <t>Variable cost = 1-2 LLM calls/message; limited dedup (short cache).</t>
        </is>
      </c>
      <c r="D7" s="77" t="inlineStr">
        <is>
          <t>LLM bill grows with traffic; margins compress without a budget.</t>
        </is>
      </c>
      <c r="E7" s="77" t="inlineStr">
        <is>
          <t>Cheap 8B default on guest bot, history capped at 20, tool/token caps, usage counters.</t>
        </is>
      </c>
      <c r="F7" s="77" t="inlineStr">
        <is>
          <t>Per-tier budget + auto-throttle; higher cache hit-rate; bill pass-through decision.</t>
        </is>
      </c>
    </row>
    <row r="8" ht="120" customHeight="1" s="52">
      <c r="A8" s="77" t="inlineStr">
        <is>
          <t>Concurrent report/PDF exports</t>
        </is>
      </c>
      <c r="B8" s="77" t="inlineStr">
        <is>
          <t>Several hoteliers export analytics at once.</t>
        </is>
      </c>
      <c r="C8" s="77" t="inlineStr">
        <is>
          <t>pandas/matplotlib/reportlab load per worker (lazy but heavy); CPU/RAM intensive in-request.</t>
        </is>
      </c>
      <c r="D8" s="77" t="inlineStr">
        <is>
          <t>Small boxes can OOM and restart workers, dropping in-flight requests.</t>
        </is>
      </c>
      <c r="E8" s="77" t="inlineStr">
        <is>
          <t>Lazy imports keep idle RAM low.</t>
        </is>
      </c>
      <c r="F8" s="77" t="inlineStr">
        <is>
          <t>Background worker/queue for generation; cap concurrent exports.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2" min="1" max="1"/>
    <col width="34" customWidth="1" style="52" min="2" max="2"/>
    <col width="46" customWidth="1" style="52" min="3" max="3"/>
    <col width="50" customWidth="1" style="52" min="4" max="4"/>
  </cols>
  <sheetData>
    <row r="1">
      <c r="A1" s="75" t="inlineStr">
        <is>
          <t>🔄 CI/CD Pipeline — automated quality gates</t>
        </is>
      </c>
    </row>
    <row r="2" ht="45" customHeight="1" s="52">
      <c r="A2" s="78" t="inlineStr">
        <is>
          <t>GitHub Actions runs on every Pull Request and on pushes to main/develop/feature branches. A change cannot merge unless these gates pass — this is what stops a bug like the AI-assistant crash from ever reaching production again.</t>
        </is>
      </c>
    </row>
    <row r="3">
      <c r="A3" s="76" t="inlineStr">
        <is>
          <t>Stage</t>
        </is>
      </c>
      <c r="B3" s="76" t="inlineStr">
        <is>
          <t>Tool / Action</t>
        </is>
      </c>
      <c r="C3" s="76" t="inlineStr">
        <is>
          <t>What it checks</t>
        </is>
      </c>
      <c r="D3" s="76" t="inlineStr">
        <is>
          <t>Why it matters here</t>
        </is>
      </c>
    </row>
    <row r="4" ht="42" customHeight="1" s="52">
      <c r="A4" s="79" t="inlineStr">
        <is>
          <t>Trigger</t>
        </is>
      </c>
      <c r="B4" s="77" t="inlineStr">
        <is>
          <t>GitHub Actions (push + pull_request)</t>
        </is>
      </c>
      <c r="C4" s="77" t="inlineStr">
        <is>
          <t>Runs automatically on PRs and branch pushes (main/develop/claude/**).</t>
        </is>
      </c>
      <c r="D4" s="77" t="inlineStr">
        <is>
          <t>Every change is checked before merge, not after deploy.</t>
        </is>
      </c>
    </row>
    <row r="5" ht="42" customHeight="1" s="52">
      <c r="A5" s="79" t="inlineStr">
        <is>
          <t>Backend - Install</t>
        </is>
      </c>
      <c r="B5" s="77" t="inlineStr">
        <is>
          <t>pip install -r requirements.txt (Python 3.11)</t>
        </is>
      </c>
      <c r="C5" s="77" t="inlineStr">
        <is>
          <t>Dependencies resolve and install cleanly.</t>
        </is>
      </c>
      <c r="D5" s="77" t="inlineStr">
        <is>
          <t>Catches broken/missing dependencies early.</t>
        </is>
      </c>
    </row>
    <row r="6" ht="42" customHeight="1" s="52">
      <c r="A6" s="79" t="inlineStr">
        <is>
          <t>Backend - Compile</t>
        </is>
      </c>
      <c r="B6" s="77" t="inlineStr">
        <is>
          <t>python -m compileall app main.py</t>
        </is>
      </c>
      <c r="C6" s="77" t="inlineStr">
        <is>
          <t>Fast-fails on any syntax or import error across the backend.</t>
        </is>
      </c>
      <c r="D6" s="77" t="inlineStr">
        <is>
          <t>Would have instantly caught the missing-logger class of bug.</t>
        </is>
      </c>
    </row>
    <row r="7" ht="42" customHeight="1" s="52">
      <c r="A7" s="79" t="inlineStr">
        <is>
          <t>Backend - Tests</t>
        </is>
      </c>
      <c r="B7" s="77" t="inlineStr">
        <is>
          <t>pytest tests/ (253 passing)</t>
        </is>
      </c>
      <c r="C7" s="77" t="inlineStr">
        <is>
          <t>Runs the full backend suite incl. the new AI smoke/regression tests.</t>
        </is>
      </c>
      <c r="D7" s="77" t="inlineStr">
        <is>
          <t>Pins the AI-assistant fix and guards multi-tenant/payment behaviour.</t>
        </is>
      </c>
    </row>
    <row r="8" ht="42" customHeight="1" s="52">
      <c r="A8" s="79" t="inlineStr">
        <is>
          <t>Frontend - Types</t>
        </is>
      </c>
      <c r="B8" s="77" t="inlineStr">
        <is>
          <t>tsc --noEmit</t>
        </is>
      </c>
      <c r="C8" s="77" t="inlineStr">
        <is>
          <t>TypeScript type-checks the whole frontend.</t>
        </is>
      </c>
      <c r="D8" s="77" t="inlineStr">
        <is>
          <t>Catches UI/data-shape errors before build.</t>
        </is>
      </c>
    </row>
    <row r="9" ht="42" customHeight="1" s="52">
      <c r="A9" s="79" t="inlineStr">
        <is>
          <t>Frontend - Build</t>
        </is>
      </c>
      <c r="B9" s="77" t="inlineStr">
        <is>
          <t>npm run build (Vite)</t>
        </is>
      </c>
      <c r="C9" s="77" t="inlineStr">
        <is>
          <t>Production build succeeds.</t>
        </is>
      </c>
      <c r="D9" s="77" t="inlineStr">
        <is>
          <t>Ensures the app actually ships.</t>
        </is>
      </c>
    </row>
    <row r="10" ht="42" customHeight="1" s="52">
      <c r="A10" s="79" t="inlineStr">
        <is>
          <t>Frontend - E2E</t>
        </is>
      </c>
      <c r="B10" s="77" t="inlineStr">
        <is>
          <t>Playwright (chromium)</t>
        </is>
      </c>
      <c r="C10" s="77" t="inlineStr">
        <is>
          <t>End-to-end browser tests of key flows.</t>
        </is>
      </c>
      <c r="D10" s="77" t="inlineStr">
        <is>
          <t>Verifies real user journeys (incl. booking/AI UI).</t>
        </is>
      </c>
    </row>
    <row r="11" ht="42" customHeight="1" s="52">
      <c r="A11" s="79" t="inlineStr">
        <is>
          <t>Artifacts</t>
        </is>
      </c>
      <c r="B11" s="77" t="inlineStr">
        <is>
          <t>upload-artifact</t>
        </is>
      </c>
      <c r="C11" s="77" t="inlineStr">
        <is>
          <t>Stores the Playwright report for 30 days.</t>
        </is>
      </c>
      <c r="D11" s="77" t="inlineStr">
        <is>
          <t>Failures are debuggable from the PR.</t>
        </is>
      </c>
    </row>
    <row r="12" ht="42" customHeight="1" s="52">
      <c r="A12" s="79" t="inlineStr">
        <is>
          <t>Deploy (CD)</t>
        </is>
      </c>
      <c r="B12" s="77" t="inlineStr">
        <is>
          <t>Railway (create_all on boot)</t>
        </is>
      </c>
      <c r="C12" s="77" t="inlineStr">
        <is>
          <t>Deploys backend+frontend; DB tables via create_all.</t>
        </is>
      </c>
      <c r="D12" s="77" t="inlineStr">
        <is>
          <t>Roadmap: add a staging gate + smoke check before prod promotion.</t>
        </is>
      </c>
    </row>
    <row r="14">
      <c r="A14" s="80" t="inlineStr">
        <is>
          <t>Recommended next CI/CD additions</t>
        </is>
      </c>
    </row>
    <row r="15">
      <c r="A15" s="81" t="inlineStr">
        <is>
          <t xml:space="preserve">  1. Add pip-audit / npm audit (dependency vulnerability scan) as a non-blocking gate, then enforce.</t>
        </is>
      </c>
    </row>
    <row r="16">
      <c r="A16" s="81" t="inlineStr">
        <is>
          <t xml:space="preserve">  2. Add a staging environment + automated smoke test before promoting to production (true CD).</t>
        </is>
      </c>
    </row>
    <row r="17">
      <c r="A17" s="81" t="inlineStr">
        <is>
          <t xml:space="preserve">  3. Add coverage reporting and a minimum threshold so AI/payment paths stay tested.</t>
        </is>
      </c>
    </row>
    <row r="18">
      <c r="A18" s="81" t="inlineStr">
        <is>
          <t xml:space="preserve">  4. Add a secrets-scanning step (e.g. gitleaks) to prevent keys being committed.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52" min="1" max="1"/>
    <col width="52" customWidth="1" style="52" min="2" max="2"/>
    <col width="52" customWidth="1" style="52" min="3" max="3"/>
    <col width="58" customWidth="1" style="52" min="4" max="4"/>
  </cols>
  <sheetData>
    <row r="1">
      <c r="A1" s="75" t="inlineStr">
        <is>
          <t>👥 Team &amp; Hiring Recommendation</t>
        </is>
      </c>
    </row>
    <row r="2" ht="60" customHeight="1" s="52">
      <c r="A2" s="78" t="inlineStr">
        <is>
          <t>Recommendation: YES — hire one Backend Engineer (priority) and one Frontend Engineer. The platform is large (~70 routers, 250+ endpoints, payments, multi-tenant, AI). The critical AI-assistant bug is already fixed; the remaining roadmap is mostly backend reliability/cost/security plus frontend UX/perf. Dedicated owners make the Hypercare SLAs achievable.</t>
        </is>
      </c>
    </row>
    <row r="3">
      <c r="A3" s="76" t="inlineStr">
        <is>
          <t>Role</t>
        </is>
      </c>
      <c r="B3" s="76" t="inlineStr">
        <is>
          <t>Why needed (tied to issues)</t>
        </is>
      </c>
      <c r="C3" s="76" t="inlineStr">
        <is>
          <t>What they own in THIS project</t>
        </is>
      </c>
      <c r="D3" s="76" t="inlineStr">
        <is>
          <t>First 30 / 60 / 90 days</t>
        </is>
      </c>
    </row>
    <row r="4" ht="150" customHeight="1" s="52">
      <c r="A4" s="79" t="inlineStr">
        <is>
          <t>Backend Engineer (Python/FastAPI) — PRIORITY</t>
        </is>
      </c>
      <c r="B4" s="82" t="inlineStr">
        <is>
          <t>Owns the High/Medium backend roadmap: DB session held during LLM (BE-008), code-level confirmation on mutating tools (BE-011), prompt-injection hardening (BE-012), AI abuse/rate limits (BE-024/025), Redis HA (BE-026), tenant-isolation tests (BE-032), webhook integrity (BE-031).</t>
        </is>
      </c>
      <c r="C4" s="82" t="inlineStr">
        <is>
          <t>FastAPI services, AI agents (agno), Postgres performance &amp; indexing, Redis, payments/Razorpay, multi-tenant security, rate limiting, cost controls, tests, observability.</t>
        </is>
      </c>
      <c r="D4" s="82" t="inlineStr">
        <is>
          <t>30d: rate-limit authed routes, ship fail-closed AI quota. 60d: release DB session before LLM, prompt-injection + code confirmations, SQL-aggregate availability. 90d: cost alerts/auto-throttle, Redis HA, load test + scaling tune.</t>
        </is>
      </c>
    </row>
    <row r="5" ht="150" customHeight="1" s="52">
      <c r="A5" s="79" t="inlineStr">
        <is>
          <t>Frontend Engineer (React/Vite)</t>
        </is>
      </c>
      <c r="B5" s="82" t="inlineStr">
        <is>
          <t>Owns the guest booking experience and hotelier dashboard quality: chart pipeline (BE-016), AI chat/streaming UX, graceful error/loading states, and the conversion-critical booking funnel.</t>
        </is>
      </c>
      <c r="C5" s="82" t="inlineStr">
        <is>
          <t>React/Vite app, booking engine UI, AI chat widget + SSE streaming UI, analytics charts, error/empty/loading states, accessibility, performance (bundle/CDN), frontend telemetry.</t>
        </is>
      </c>
      <c r="D5" s="82" t="inlineStr">
        <is>
          <t>30d: robust error/loading states for AI + booking; fix chart rendering. 60d: streaming UX + disconnect handling; booking funnel polish. 90d: performance + accessibility pass; funnel drop-off analytics.</t>
        </is>
      </c>
    </row>
    <row r="6" ht="150" customHeight="1" s="52">
      <c r="A6" s="79" t="inlineStr">
        <is>
          <t>(Optional) Fractional DevOps / SRE</t>
        </is>
      </c>
      <c r="B6" s="82" t="inlineStr">
        <is>
          <t>Infra-flavoured items: Redis HA (BE-026), pool exhaustion (BE-023), trusted proxy/WAF (BE-002/024), load test (BE-004), report worker (BE-033).</t>
        </is>
      </c>
      <c r="C6" s="82" t="inlineStr">
        <is>
          <t>Railway/infra, Supabase connection budget, Redis HA, CDN/WAF, monitoring/alerting (Sentry), CI/CD, load testing.</t>
        </is>
      </c>
      <c r="D6" s="82" t="inlineStr">
        <is>
          <t>Can be contract or absorbed by the senior backend hire initially; formalise before scaling traffic.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B3" sqref="B3:H22"/>
    </sheetView>
  </sheetViews>
  <sheetFormatPr baseColWidth="10" defaultColWidth="8.83203125" defaultRowHeight="15"/>
  <cols>
    <col width="20" customWidth="1" style="52" min="1" max="1"/>
    <col width="55" customWidth="1" style="52" min="2" max="2"/>
    <col width="20" customWidth="1" style="52" min="3" max="3"/>
    <col width="14" customWidth="1" style="52" min="4" max="5"/>
    <col width="16" customWidth="1" style="52" min="6" max="7"/>
    <col width="20" customWidth="1" style="52" min="8" max="8"/>
  </cols>
  <sheetData>
    <row r="1" ht="34" customHeight="1" s="52">
      <c r="A1" s="54" t="inlineStr">
        <is>
          <t>🏨  Booking Engine — Phase-wise Delivery Plan</t>
        </is>
      </c>
    </row>
    <row r="2" ht="28" customHeight="1" s="52">
      <c r="A2" s="19" t="inlineStr">
        <is>
          <t>Phase</t>
        </is>
      </c>
      <c r="B2" s="19" t="inlineStr">
        <is>
          <t>Milestone / Activity</t>
        </is>
      </c>
      <c r="C2" s="19" t="inlineStr">
        <is>
          <t>Owner</t>
        </is>
      </c>
      <c r="D2" s="19" t="inlineStr">
        <is>
          <t>Start Date</t>
        </is>
      </c>
      <c r="E2" s="19" t="inlineStr">
        <is>
          <t>End Date</t>
        </is>
      </c>
      <c r="F2" s="19" t="inlineStr">
        <is>
          <t>Duration (days)</t>
        </is>
      </c>
      <c r="G2" s="19" t="inlineStr">
        <is>
          <t>Status</t>
        </is>
      </c>
      <c r="H2" s="19" t="inlineStr">
        <is>
          <t>Notes</t>
        </is>
      </c>
    </row>
    <row r="3" ht="36" customHeight="1" s="52">
      <c r="A3" s="97" t="inlineStr">
        <is>
          <t>Pre-Development</t>
        </is>
      </c>
      <c r="B3" s="65" t="inlineStr">
        <is>
          <t>Architecture &amp; cost-governance review (AI budget, trust model)</t>
        </is>
      </c>
      <c r="C3" s="69" t="inlineStr">
        <is>
          <t>Tech Lead</t>
        </is>
      </c>
      <c r="D3" s="69" t="inlineStr"/>
      <c r="E3" s="69" t="inlineStr"/>
      <c r="F3" s="69" t="inlineStr"/>
      <c r="G3" s="69" t="inlineStr">
        <is>
          <t>Not Started</t>
        </is>
      </c>
      <c r="H3" s="65" t="inlineStr"/>
    </row>
    <row r="4" ht="36" customHeight="1" s="52">
      <c r="A4" s="97" t="inlineStr">
        <is>
          <t>Pre-Development</t>
        </is>
      </c>
      <c r="B4" s="98" t="inlineStr">
        <is>
          <t>Capacity plan + DB connection budget vs Supabase limit</t>
        </is>
      </c>
      <c r="C4" s="99" t="inlineStr">
        <is>
          <t>Backend Dev</t>
        </is>
      </c>
      <c r="D4" s="99" t="inlineStr"/>
      <c r="E4" s="99" t="inlineStr"/>
      <c r="F4" s="99" t="inlineStr"/>
      <c r="G4" s="99" t="inlineStr">
        <is>
          <t>Not Started</t>
        </is>
      </c>
      <c r="H4" s="98" t="inlineStr"/>
    </row>
    <row r="5" ht="36" customHeight="1" s="52">
      <c r="A5" s="97" t="inlineStr">
        <is>
          <t>Pre-Development</t>
        </is>
      </c>
      <c r="B5" s="65" t="inlineStr">
        <is>
          <t>Run load test at expected peak (scripts/load_test.py)</t>
        </is>
      </c>
      <c r="C5" s="69" t="inlineStr">
        <is>
          <t>DevOps</t>
        </is>
      </c>
      <c r="D5" s="69" t="inlineStr"/>
      <c r="E5" s="69" t="inlineStr"/>
      <c r="F5" s="69" t="inlineStr"/>
      <c r="G5" s="69" t="inlineStr">
        <is>
          <t>Not Started</t>
        </is>
      </c>
      <c r="H5" s="65" t="inlineStr"/>
    </row>
    <row r="6" ht="36" customHeight="1" s="52">
      <c r="A6" s="97" t="inlineStr">
        <is>
          <t>Pre-Development</t>
        </is>
      </c>
      <c r="B6" s="98" t="inlineStr">
        <is>
          <t>Hiring: backend + frontend engineers</t>
        </is>
      </c>
      <c r="C6" s="99" t="inlineStr">
        <is>
          <t>Founder</t>
        </is>
      </c>
      <c r="D6" s="99" t="inlineStr"/>
      <c r="E6" s="99" t="inlineStr"/>
      <c r="F6" s="99" t="inlineStr"/>
      <c r="G6" s="99" t="inlineStr">
        <is>
          <t>Not Started</t>
        </is>
      </c>
      <c r="H6" s="98" t="inlineStr">
        <is>
          <t>See Team sheet</t>
        </is>
      </c>
    </row>
    <row r="7" ht="36" customHeight="1" s="52">
      <c r="A7" s="97" t="inlineStr">
        <is>
          <t>Pre-Development</t>
        </is>
      </c>
      <c r="B7" s="65" t="inlineStr">
        <is>
          <t>Define abuse/rate-limit &amp; fail-closed policy</t>
        </is>
      </c>
      <c r="C7" s="69" t="inlineStr">
        <is>
          <t>Backend Dev</t>
        </is>
      </c>
      <c r="D7" s="69" t="inlineStr"/>
      <c r="E7" s="69" t="inlineStr"/>
      <c r="F7" s="69" t="inlineStr"/>
      <c r="G7" s="69" t="inlineStr">
        <is>
          <t>Not Started</t>
        </is>
      </c>
      <c r="H7" s="65" t="inlineStr"/>
    </row>
    <row r="8" ht="36" customHeight="1" s="52">
      <c r="A8" s="94" t="inlineStr">
        <is>
          <t>Development</t>
        </is>
      </c>
      <c r="B8" s="98" t="inlineStr">
        <is>
          <t>Fix AI assistant crash (logger) + smoke tests</t>
        </is>
      </c>
      <c r="C8" s="99" t="inlineStr">
        <is>
          <t>Backend Dev</t>
        </is>
      </c>
      <c r="D8" s="99" t="inlineStr">
        <is>
          <t>10/06/2026</t>
        </is>
      </c>
      <c r="E8" s="99" t="inlineStr">
        <is>
          <t>10/06/2026</t>
        </is>
      </c>
      <c r="F8" s="99" t="inlineStr">
        <is>
          <t>0</t>
        </is>
      </c>
      <c r="G8" s="99" t="inlineStr">
        <is>
          <t>Completed</t>
        </is>
      </c>
      <c r="H8" s="98" t="inlineStr">
        <is>
          <t>DONE - 253 tests green</t>
        </is>
      </c>
    </row>
    <row r="9" ht="36" customHeight="1" s="52">
      <c r="A9" s="94" t="inlineStr">
        <is>
          <t>Development</t>
        </is>
      </c>
      <c r="B9" s="65" t="inlineStr">
        <is>
          <t>Cheap-model error fallback + web-search timeout</t>
        </is>
      </c>
      <c r="C9" s="69" t="inlineStr">
        <is>
          <t>Backend Dev</t>
        </is>
      </c>
      <c r="D9" s="69" t="inlineStr">
        <is>
          <t>10/06/2026</t>
        </is>
      </c>
      <c r="E9" s="69" t="inlineStr">
        <is>
          <t>10/06/2026</t>
        </is>
      </c>
      <c r="F9" s="69" t="inlineStr">
        <is>
          <t>0</t>
        </is>
      </c>
      <c r="G9" s="69" t="inlineStr">
        <is>
          <t>Completed</t>
        </is>
      </c>
      <c r="H9" s="65" t="inlineStr">
        <is>
          <t>DONE</t>
        </is>
      </c>
    </row>
    <row r="10" ht="36" customHeight="1" s="52">
      <c r="A10" s="94" t="inlineStr">
        <is>
          <t>Development</t>
        </is>
      </c>
      <c r="B10" s="98" t="inlineStr">
        <is>
          <t>Sanitise error responses + PII logging to DEBUG</t>
        </is>
      </c>
      <c r="C10" s="99" t="inlineStr">
        <is>
          <t>Backend Dev</t>
        </is>
      </c>
      <c r="D10" s="99" t="inlineStr">
        <is>
          <t>10/06/2026</t>
        </is>
      </c>
      <c r="E10" s="99" t="inlineStr">
        <is>
          <t>10/06/2026</t>
        </is>
      </c>
      <c r="F10" s="99" t="inlineStr">
        <is>
          <t>0</t>
        </is>
      </c>
      <c r="G10" s="99" t="inlineStr">
        <is>
          <t>Completed</t>
        </is>
      </c>
      <c r="H10" s="98" t="inlineStr">
        <is>
          <t>DONE</t>
        </is>
      </c>
    </row>
    <row r="11" ht="36" customHeight="1" s="52">
      <c r="A11" s="94" t="inlineStr">
        <is>
          <t>Development</t>
        </is>
      </c>
      <c r="B11" s="65" t="inlineStr">
        <is>
          <t>Release DB session before LLM round-trip</t>
        </is>
      </c>
      <c r="C11" s="69" t="inlineStr">
        <is>
          <t>Backend Dev</t>
        </is>
      </c>
      <c r="D11" s="69" t="inlineStr"/>
      <c r="E11" s="69" t="inlineStr"/>
      <c r="F11" s="69" t="inlineStr"/>
      <c r="G11" s="69" t="inlineStr">
        <is>
          <t>Not Started</t>
        </is>
      </c>
      <c r="H11" s="65" t="inlineStr"/>
    </row>
    <row r="12" ht="36" customHeight="1" s="52">
      <c r="A12" s="94" t="inlineStr">
        <is>
          <t>Development</t>
        </is>
      </c>
      <c r="B12" s="98" t="inlineStr">
        <is>
          <t>Prompt-injection hardening + code-level confirmations</t>
        </is>
      </c>
      <c r="C12" s="99" t="inlineStr">
        <is>
          <t>Backend Dev</t>
        </is>
      </c>
      <c r="D12" s="99" t="inlineStr"/>
      <c r="E12" s="99" t="inlineStr"/>
      <c r="F12" s="99" t="inlineStr"/>
      <c r="G12" s="99" t="inlineStr">
        <is>
          <t>Not Started</t>
        </is>
      </c>
      <c r="H12" s="98" t="inlineStr"/>
    </row>
    <row r="13" ht="36" customHeight="1" s="52">
      <c r="A13" s="94" t="inlineStr">
        <is>
          <t>Development</t>
        </is>
      </c>
      <c r="B13" s="65" t="inlineStr">
        <is>
          <t>Performance: SQL aggregation + indexes</t>
        </is>
      </c>
      <c r="C13" s="69" t="inlineStr">
        <is>
          <t>Backend Dev</t>
        </is>
      </c>
      <c r="D13" s="69" t="inlineStr"/>
      <c r="E13" s="69" t="inlineStr"/>
      <c r="F13" s="69" t="inlineStr"/>
      <c r="G13" s="69" t="inlineStr">
        <is>
          <t>Not Started</t>
        </is>
      </c>
      <c r="H13" s="65" t="inlineStr"/>
    </row>
    <row r="14" ht="36" customHeight="1" s="52">
      <c r="A14" s="94" t="inlineStr">
        <is>
          <t>Development</t>
        </is>
      </c>
      <c r="B14" s="98" t="inlineStr">
        <is>
          <t>Frontend: chart pipeline, error/loading UX</t>
        </is>
      </c>
      <c r="C14" s="99" t="inlineStr">
        <is>
          <t>Frontend Dev</t>
        </is>
      </c>
      <c r="D14" s="99" t="inlineStr"/>
      <c r="E14" s="99" t="inlineStr"/>
      <c r="F14" s="99" t="inlineStr"/>
      <c r="G14" s="99" t="inlineStr">
        <is>
          <t>Not Started</t>
        </is>
      </c>
      <c r="H14" s="98" t="inlineStr"/>
    </row>
    <row r="15" ht="36" customHeight="1" s="52">
      <c r="A15" s="94" t="inlineStr">
        <is>
          <t>Development</t>
        </is>
      </c>
      <c r="B15" s="65" t="inlineStr">
        <is>
          <t>QA + automated coverage for AI/payment paths</t>
        </is>
      </c>
      <c r="C15" s="69" t="inlineStr">
        <is>
          <t>Both Devs</t>
        </is>
      </c>
      <c r="D15" s="69" t="inlineStr"/>
      <c r="E15" s="69" t="inlineStr"/>
      <c r="F15" s="69" t="inlineStr"/>
      <c r="G15" s="69" t="inlineStr">
        <is>
          <t>Not Started</t>
        </is>
      </c>
      <c r="H15" s="65" t="inlineStr"/>
    </row>
    <row r="16" ht="36" customHeight="1" s="52">
      <c r="A16" s="94" t="inlineStr">
        <is>
          <t>Post-Development</t>
        </is>
      </c>
      <c r="B16" s="98" t="inlineStr">
        <is>
          <t>Redis HA + fail-closed quota</t>
        </is>
      </c>
      <c r="C16" s="99" t="inlineStr">
        <is>
          <t>DevOps</t>
        </is>
      </c>
      <c r="D16" s="99" t="inlineStr"/>
      <c r="E16" s="99" t="inlineStr"/>
      <c r="F16" s="99" t="inlineStr"/>
      <c r="G16" s="99" t="inlineStr">
        <is>
          <t>Not Started</t>
        </is>
      </c>
      <c r="H16" s="98" t="inlineStr"/>
    </row>
    <row r="17" ht="36" customHeight="1" s="52">
      <c r="A17" s="100" t="inlineStr">
        <is>
          <t>Post-Development</t>
        </is>
      </c>
      <c r="B17" s="65" t="inlineStr">
        <is>
          <t>Cost monitoring + per-hotel spend alerts</t>
        </is>
      </c>
      <c r="C17" s="69" t="inlineStr">
        <is>
          <t>Backend Dev</t>
        </is>
      </c>
      <c r="D17" s="69" t="inlineStr"/>
      <c r="E17" s="69" t="inlineStr"/>
      <c r="F17" s="69" t="inlineStr"/>
      <c r="G17" s="69" t="inlineStr">
        <is>
          <t>Not Started</t>
        </is>
      </c>
      <c r="H17" s="65" t="inlineStr"/>
    </row>
    <row r="18" ht="36" customHeight="1" s="52">
      <c r="A18" s="100" t="inlineStr">
        <is>
          <t>Post-Development</t>
        </is>
      </c>
      <c r="B18" s="98" t="inlineStr">
        <is>
          <t>WAF / signed widget token / captcha for public AI</t>
        </is>
      </c>
      <c r="C18" s="99" t="inlineStr">
        <is>
          <t>Backend Dev</t>
        </is>
      </c>
      <c r="D18" s="99" t="inlineStr"/>
      <c r="E18" s="99" t="inlineStr"/>
      <c r="F18" s="99" t="inlineStr"/>
      <c r="G18" s="99" t="inlineStr">
        <is>
          <t>Not Started</t>
        </is>
      </c>
      <c r="H18" s="98" t="inlineStr"/>
    </row>
    <row r="19" ht="36" customHeight="1" s="52">
      <c r="A19" s="100" t="inlineStr">
        <is>
          <t>Post-Development</t>
        </is>
      </c>
      <c r="B19" s="65" t="inlineStr">
        <is>
          <t>Scaling tune (pool/concurrency/replicas) + CDN</t>
        </is>
      </c>
      <c r="C19" s="69" t="inlineStr">
        <is>
          <t>DevOps</t>
        </is>
      </c>
      <c r="D19" s="69" t="inlineStr"/>
      <c r="E19" s="69" t="inlineStr"/>
      <c r="F19" s="69" t="inlineStr"/>
      <c r="G19" s="69" t="inlineStr">
        <is>
          <t>Not Started</t>
        </is>
      </c>
      <c r="H19" s="65" t="inlineStr"/>
    </row>
    <row r="20" ht="36" customHeight="1" s="52">
      <c r="A20" s="100" t="inlineStr">
        <is>
          <t>Post-Development</t>
        </is>
      </c>
      <c r="B20" s="98" t="inlineStr">
        <is>
          <t>Hypercare monitoring &amp; SLA tracking (30 days)</t>
        </is>
      </c>
      <c r="C20" s="99" t="inlineStr">
        <is>
          <t>Both Devs</t>
        </is>
      </c>
      <c r="D20" s="99" t="inlineStr"/>
      <c r="E20" s="99" t="inlineStr"/>
      <c r="F20" s="99" t="inlineStr"/>
      <c r="G20" s="99" t="inlineStr">
        <is>
          <t>Not Started</t>
        </is>
      </c>
      <c r="H20" s="98" t="inlineStr"/>
    </row>
    <row r="21" ht="36" customHeight="1" s="52">
      <c r="A21" s="100" t="inlineStr">
        <is>
          <t>Post-Development</t>
        </is>
      </c>
      <c r="B21" s="65" t="inlineStr">
        <is>
          <t>Background worker for reports/PDF + dead-letter syncs</t>
        </is>
      </c>
      <c r="C21" s="69" t="inlineStr">
        <is>
          <t>Backend Dev</t>
        </is>
      </c>
      <c r="D21" s="69" t="inlineStr"/>
      <c r="E21" s="69" t="inlineStr"/>
      <c r="F21" s="69" t="inlineStr"/>
      <c r="G21" s="69" t="inlineStr">
        <is>
          <t>Not Started</t>
        </is>
      </c>
      <c r="H21" s="65" t="inlineStr"/>
    </row>
    <row r="22" ht="36" customHeight="1" s="52">
      <c r="A22" s="100" t="inlineStr">
        <is>
          <t>Post-Development</t>
        </is>
      </c>
      <c r="B22" s="98" t="inlineStr">
        <is>
          <t>CI/CD: staging gate + dependency/secret scanning</t>
        </is>
      </c>
      <c r="C22" s="99" t="inlineStr">
        <is>
          <t>DevOps</t>
        </is>
      </c>
      <c r="D22" s="99" t="inlineStr"/>
      <c r="E22" s="99" t="inlineStr"/>
      <c r="F22" s="99" t="inlineStr"/>
      <c r="G22" s="99" t="inlineStr">
        <is>
          <t>Not Started</t>
        </is>
      </c>
      <c r="H22" s="98" t="inlineStr">
        <is>
          <t>CI already on PRs</t>
        </is>
      </c>
    </row>
  </sheetData>
  <mergeCells count="1">
    <mergeCell ref="A1:H1"/>
  </mergeCells>
  <dataValidations count="1">
    <dataValidation sqref="G3:G100" showDropDown="0" showInputMessage="0" showErrorMessage="0" allowBlank="0" type="list">
      <formula1>"Not Started,In Progress,Completed,Blocked,Deferred"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zoomScale="119" workbookViewId="0">
      <selection activeCell="A3" sqref="A3"/>
    </sheetView>
  </sheetViews>
  <sheetFormatPr baseColWidth="10" defaultColWidth="8.83203125" defaultRowHeight="15"/>
  <cols>
    <col width="14" customWidth="1" style="52" min="1" max="1"/>
    <col width="50" customWidth="1" style="52" min="2" max="2"/>
    <col width="58" customWidth="1" style="52" min="3" max="3"/>
    <col width="16" customWidth="1" style="52" min="4" max="5"/>
    <col width="20" customWidth="1" style="52" min="6" max="6"/>
    <col width="28" customWidth="1" style="52" min="7" max="7"/>
  </cols>
  <sheetData>
    <row r="1" ht="34" customHeight="1" s="52">
      <c r="A1" s="61" t="inlineStr">
        <is>
          <t xml:space="preserve"> Issue Priority Matrix — Definitions &amp; Resolution SLAs</t>
        </is>
      </c>
    </row>
    <row r="2">
      <c r="A2" s="55" t="inlineStr">
        <is>
          <t>Priority</t>
        </is>
      </c>
      <c r="B2" s="55" t="inlineStr">
        <is>
          <t>Definition</t>
        </is>
      </c>
      <c r="C2" s="55" t="inlineStr">
        <is>
          <t>Examples</t>
        </is>
      </c>
      <c r="D2" s="55" t="inlineStr">
        <is>
          <t>Response SLA</t>
        </is>
      </c>
      <c r="E2" s="55" t="inlineStr">
        <is>
          <t>Resolution SLA</t>
        </is>
      </c>
      <c r="F2" s="55" t="inlineStr">
        <is>
          <t>Owner</t>
        </is>
      </c>
      <c r="G2" s="55" t="inlineStr">
        <is>
          <t>Escalation</t>
        </is>
      </c>
    </row>
    <row r="3" ht="60" customHeight="1" s="52">
      <c r="A3" s="83" t="inlineStr">
        <is>
          <t>Critical</t>
        </is>
      </c>
      <c r="B3" s="84" t="inlineStr">
        <is>
          <t>Breaks core money/data flow or takes the platform down; no workaround.</t>
        </is>
      </c>
      <c r="C3" s="84" t="inlineStr">
        <is>
          <t>AI assistant 500s on every call (now fixed); DB pool exhaustion; spoofed payment webhook; cross-tenant leak.</t>
        </is>
      </c>
      <c r="D3" s="85" t="inlineStr">
        <is>
          <t>Immediate (&lt; 1 h)</t>
        </is>
      </c>
      <c r="E3" s="85" t="inlineStr">
        <is>
          <t>4 h (same day)</t>
        </is>
      </c>
      <c r="F3" s="85" t="inlineStr">
        <is>
          <t>Tech Lead</t>
        </is>
      </c>
      <c r="G3" s="85" t="inlineStr">
        <is>
          <t>Founder</t>
        </is>
      </c>
    </row>
    <row r="4" ht="60" customHeight="1" s="52">
      <c r="A4" s="86" t="inlineStr">
        <is>
          <t>High</t>
        </is>
      </c>
      <c r="B4" s="87" t="inlineStr">
        <is>
          <t>Major feature broken or a real cost/abuse/security risk.</t>
        </is>
      </c>
      <c r="C4" s="87" t="inlineStr">
        <is>
          <t>DB connection held during LLM; public AI abuse; Redis SPOF; no rate limit on authed routes.</t>
        </is>
      </c>
      <c r="D4" s="88" t="inlineStr">
        <is>
          <t>2 h</t>
        </is>
      </c>
      <c r="E4" s="88" t="inlineStr">
        <is>
          <t>24 h</t>
        </is>
      </c>
      <c r="F4" s="88" t="inlineStr">
        <is>
          <t>Tech Lead</t>
        </is>
      </c>
      <c r="G4" s="88" t="inlineStr">
        <is>
          <t>Founder</t>
        </is>
      </c>
    </row>
    <row r="5" ht="60" customHeight="1" s="52">
      <c r="A5" s="89" t="inlineStr">
        <is>
          <t>Medium</t>
        </is>
      </c>
      <c r="B5" s="90" t="inlineStr">
        <is>
          <t>Degraded behaviour, performance or hygiene; limited blast radius.</t>
        </is>
      </c>
      <c r="C5" s="90" t="inlineStr">
        <is>
          <t>Availability loops; SSE lifetime; PII at INFO (now fixed); provider detection.</t>
        </is>
      </c>
      <c r="D5" s="91" t="inlineStr">
        <is>
          <t>4 h</t>
        </is>
      </c>
      <c r="E5" s="91" t="inlineStr">
        <is>
          <t>3 business days</t>
        </is>
      </c>
      <c r="F5" s="91" t="inlineStr">
        <is>
          <t>Tech Lead</t>
        </is>
      </c>
      <c r="G5" s="91" t="inlineStr">
        <is>
          <t>Tech Lead</t>
        </is>
      </c>
    </row>
    <row r="6" ht="60" customHeight="1" s="52">
      <c r="A6" s="92" t="inlineStr">
        <is>
          <t>Low</t>
        </is>
      </c>
      <c r="B6" s="93" t="inlineStr">
        <is>
          <t>Cosmetic/observability/low-likelihood; fix when convenient.</t>
        </is>
      </c>
      <c r="C6" s="93" t="inlineStr">
        <is>
          <t>Chart echo; usage accounting; canned-error alerting.</t>
        </is>
      </c>
      <c r="D6" s="94" t="inlineStr">
        <is>
          <t>Next sprint</t>
        </is>
      </c>
      <c r="E6" s="94" t="inlineStr">
        <is>
          <t>1–2 sprints</t>
        </is>
      </c>
      <c r="F6" s="94" t="inlineStr">
        <is>
          <t>Tech Lead</t>
        </is>
      </c>
      <c r="G6" s="94" t="inlineStr">
        <is>
          <t>Tech Lead</t>
        </is>
      </c>
    </row>
    <row r="8" ht="20" customHeight="1" s="52"/>
    <row r="9">
      <c r="A9" s="55" t="inlineStr">
        <is>
          <t>COLOUR LEGEND</t>
        </is>
      </c>
      <c r="B9" s="95" t="n"/>
      <c r="C9" s="95" t="n"/>
      <c r="D9" s="95" t="n"/>
      <c r="E9" s="95" t="n"/>
      <c r="F9" s="95" t="n"/>
      <c r="G9" s="96" t="n"/>
    </row>
    <row r="10" ht="24" customHeight="1" s="52">
      <c r="A10" s="28" t="inlineStr">
        <is>
          <t>Critical</t>
        </is>
      </c>
      <c r="B10" s="29" t="inlineStr">
        <is>
          <t>High</t>
        </is>
      </c>
      <c r="C10" s="30" t="inlineStr">
        <is>
          <t>Medium</t>
        </is>
      </c>
      <c r="D10" s="31" t="inlineStr">
        <is>
          <t>Low</t>
        </is>
      </c>
      <c r="E10" s="32" t="inlineStr">
        <is>
          <t>Pre-Dev Phase</t>
        </is>
      </c>
      <c r="F10" s="31" t="inlineStr">
        <is>
          <t>Dev Phase</t>
        </is>
      </c>
      <c r="G10" s="33" t="inlineStr">
        <is>
          <t>Post-Dev Phase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2" sqref="A2:F2"/>
    </sheetView>
  </sheetViews>
  <sheetFormatPr baseColWidth="10" defaultColWidth="8.83203125" defaultRowHeight="15"/>
  <cols>
    <col width="20" customWidth="1" style="52" min="1" max="1"/>
    <col width="10" customWidth="1" style="52" min="2" max="2"/>
    <col width="4" customWidth="1" style="52" min="3" max="3"/>
    <col width="20" customWidth="1" style="52" min="4" max="4"/>
    <col width="10" customWidth="1" style="52" min="5" max="5"/>
    <col width="4" customWidth="1" style="52" min="6" max="6"/>
  </cols>
  <sheetData>
    <row r="1" ht="34" customHeight="1" s="52">
      <c r="A1" s="61" t="inlineStr">
        <is>
          <t xml:space="preserve">  Booking Engine — Issue Summary Dashboard</t>
        </is>
      </c>
    </row>
    <row r="2" ht="18" customHeight="1" s="52">
      <c r="A2" s="58" t="inlineStr">
        <is>
          <t>Update the Issue Tracker sheet; this dashboard auto-calculates totals</t>
        </is>
      </c>
    </row>
    <row r="4">
      <c r="A4" s="57" t="inlineStr">
        <is>
          <t>ISSUES BY STATUS</t>
        </is>
      </c>
      <c r="B4" s="96" t="n"/>
      <c r="D4" s="60" t="inlineStr">
        <is>
          <t>ISSUES BY PRIORITY</t>
        </is>
      </c>
      <c r="E4" s="96" t="n"/>
    </row>
    <row r="5" ht="24" customHeight="1" s="52">
      <c r="A5" s="34" t="inlineStr">
        <is>
          <t>Status</t>
        </is>
      </c>
      <c r="B5" s="35" t="inlineStr">
        <is>
          <t>Count</t>
        </is>
      </c>
      <c r="D5" s="34" t="inlineStr">
        <is>
          <t>Priority</t>
        </is>
      </c>
      <c r="E5" s="35" t="inlineStr">
        <is>
          <t>Count</t>
        </is>
      </c>
    </row>
    <row r="6" ht="24" customHeight="1" s="52">
      <c r="A6" s="36" t="inlineStr">
        <is>
          <t>Open</t>
        </is>
      </c>
      <c r="B6" s="37">
        <f>COUNTIF(' Issue Tracker'!I:I,A6)</f>
        <v/>
      </c>
      <c r="D6" s="38" t="inlineStr">
        <is>
          <t>Critical</t>
        </is>
      </c>
      <c r="E6" s="37">
        <f>COUNTIF(' Issue Tracker'!H:H,D6)</f>
        <v/>
      </c>
    </row>
    <row r="7" ht="24" customHeight="1" s="52">
      <c r="A7" s="36" t="inlineStr">
        <is>
          <t>In Progress</t>
        </is>
      </c>
      <c r="B7" s="37">
        <f>COUNTIF(' Issue Tracker'!I:I,A7)</f>
        <v/>
      </c>
      <c r="D7" s="39" t="inlineStr">
        <is>
          <t>High</t>
        </is>
      </c>
      <c r="E7" s="37">
        <f>COUNTIF(' Issue Tracker'!H:H,D7)</f>
        <v/>
      </c>
    </row>
    <row r="8" ht="24" customHeight="1" s="52">
      <c r="A8" s="36" t="inlineStr">
        <is>
          <t>Blocked</t>
        </is>
      </c>
      <c r="B8" s="37">
        <f>COUNTIF(' Issue Tracker'!I:I,A8)</f>
        <v/>
      </c>
      <c r="D8" s="40" t="inlineStr">
        <is>
          <t>Medium</t>
        </is>
      </c>
      <c r="E8" s="37">
        <f>COUNTIF(' Issue Tracker'!H:H,D8)</f>
        <v/>
      </c>
    </row>
    <row r="9" ht="24" customHeight="1" s="52">
      <c r="A9" s="36" t="inlineStr">
        <is>
          <t>Resolved</t>
        </is>
      </c>
      <c r="B9" s="37">
        <f>COUNTIF(' Issue Tracker'!I:I,A9)</f>
        <v/>
      </c>
      <c r="D9" s="41" t="inlineStr">
        <is>
          <t>Low</t>
        </is>
      </c>
      <c r="E9" s="37">
        <f>COUNTIF(' Issue Tracker'!H:H,D9)</f>
        <v/>
      </c>
    </row>
    <row r="10" ht="24" customHeight="1" s="52">
      <c r="A10" s="36" t="inlineStr">
        <is>
          <t>Closed</t>
        </is>
      </c>
      <c r="B10" s="37">
        <f>COUNTIF(' Issue Tracker'!I:I,A10)</f>
        <v/>
      </c>
    </row>
    <row r="11" ht="24" customHeight="1" s="52">
      <c r="A11" s="36" t="inlineStr">
        <is>
          <t>Deferred</t>
        </is>
      </c>
      <c r="B11" s="37">
        <f>COUNTIF(' Issue Tracker'!I:I,A11)</f>
        <v/>
      </c>
    </row>
    <row r="12" ht="24" customHeight="1" s="52">
      <c r="A12" s="42" t="inlineStr">
        <is>
          <t>TOTAL</t>
        </is>
      </c>
      <c r="B12" s="43">
        <f>SUM(B6:B11)</f>
        <v/>
      </c>
    </row>
    <row r="13" ht="24" customHeight="1" s="52"/>
    <row r="14" ht="24" customHeight="1" s="52">
      <c r="A14" s="59" t="inlineStr">
        <is>
          <t>ISSUES BY PHASE</t>
        </is>
      </c>
      <c r="B14" s="96" t="n"/>
    </row>
    <row r="15" ht="24" customHeight="1" s="52">
      <c r="A15" s="34" t="inlineStr">
        <is>
          <t>Phase</t>
        </is>
      </c>
      <c r="B15" s="35" t="inlineStr">
        <is>
          <t>Count</t>
        </is>
      </c>
    </row>
    <row r="16" ht="24" customHeight="1" s="52">
      <c r="A16" s="44" t="inlineStr">
        <is>
          <t>Pre-Development</t>
        </is>
      </c>
      <c r="B16" s="37">
        <f>COUNTIF(' Issue Tracker'!B:B,A16)</f>
        <v/>
      </c>
    </row>
    <row r="17" ht="24" customHeight="1" s="52">
      <c r="A17" s="45" t="inlineStr">
        <is>
          <t>Development</t>
        </is>
      </c>
      <c r="B17" s="37">
        <f>COUNTIF(' Issue Tracker'!B:B,A17)</f>
        <v/>
      </c>
    </row>
    <row r="18" ht="24" customHeight="1" s="52">
      <c r="A18" s="46" t="inlineStr">
        <is>
          <t>Post-Development</t>
        </is>
      </c>
      <c r="B18" s="37">
        <f>COUNTIF(' Issue Tracker'!B:B,A18)</f>
        <v/>
      </c>
    </row>
    <row r="19" ht="24" customHeight="1" s="52"/>
  </sheetData>
  <mergeCells count="5">
    <mergeCell ref="A4:B4"/>
    <mergeCell ref="A2:F2"/>
    <mergeCell ref="A1:F1"/>
    <mergeCell ref="A14:B14"/>
    <mergeCell ref="D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D5" sqref="D5"/>
    </sheetView>
  </sheetViews>
  <sheetFormatPr baseColWidth="10" defaultColWidth="8.83203125" defaultRowHeight="15"/>
  <cols>
    <col width="16" customWidth="1" style="52" min="1" max="1"/>
    <col width="32" customWidth="1" style="52" min="2" max="2"/>
    <col width="11" customWidth="1" style="52" min="3" max="3"/>
    <col width="18" customWidth="1" style="52" min="4" max="4"/>
    <col width="18" customWidth="1" style="52" min="5" max="5"/>
    <col width="26" customWidth="1" style="52" min="6" max="6"/>
  </cols>
  <sheetData>
    <row r="1" ht="34" customHeight="1" s="52">
      <c r="A1" s="61" t="inlineStr">
        <is>
          <t>Recommended Timeframes for Issue Resolution</t>
        </is>
      </c>
    </row>
    <row r="2" ht="28" customHeight="1" s="52">
      <c r="A2" s="55" t="inlineStr">
        <is>
          <t>Phase</t>
        </is>
      </c>
      <c r="B2" s="55" t="inlineStr">
        <is>
          <t>Issue Type</t>
        </is>
      </c>
      <c r="C2" s="55" t="inlineStr">
        <is>
          <t>Priority</t>
        </is>
      </c>
      <c r="D2" s="55" t="inlineStr">
        <is>
          <t>Discovery Method</t>
        </is>
      </c>
      <c r="E2" s="55" t="inlineStr">
        <is>
          <t>Target Fix Window</t>
        </is>
      </c>
      <c r="F2" s="55" t="inlineStr">
        <is>
          <t>Notes</t>
        </is>
      </c>
    </row>
    <row r="3" ht="44" customHeight="1" s="52">
      <c r="A3" s="101" t="inlineStr">
        <is>
          <t>Pre-Development</t>
        </is>
      </c>
      <c r="B3" s="65" t="inlineStr">
        <is>
          <t>Architecture/cost-governance gap</t>
        </is>
      </c>
      <c r="C3" s="83" t="inlineStr">
        <is>
          <t>Critical</t>
        </is>
      </c>
      <c r="D3" s="65" t="inlineStr">
        <is>
          <t>Design review</t>
        </is>
      </c>
      <c r="E3" s="65" t="inlineStr">
        <is>
          <t>Before dev</t>
        </is>
      </c>
      <c r="F3" s="65" t="inlineStr">
        <is>
          <t>Blocks safe build</t>
        </is>
      </c>
    </row>
    <row r="4" ht="44" customHeight="1" s="52">
      <c r="A4" s="101" t="inlineStr">
        <is>
          <t>Pre-Development</t>
        </is>
      </c>
      <c r="B4" s="98" t="inlineStr">
        <is>
          <t>Capacity/connection planning</t>
        </is>
      </c>
      <c r="C4" s="86" t="inlineStr">
        <is>
          <t>High</t>
        </is>
      </c>
      <c r="D4" s="98" t="inlineStr">
        <is>
          <t>Load test</t>
        </is>
      </c>
      <c r="E4" s="98" t="inlineStr">
        <is>
          <t>Before go-live</t>
        </is>
      </c>
      <c r="F4" s="98" t="inlineStr">
        <is>
          <t>Sets scaling ceiling</t>
        </is>
      </c>
    </row>
    <row r="5" ht="44" customHeight="1" s="52">
      <c r="A5" s="101" t="inlineStr">
        <is>
          <t>Pre-Development</t>
        </is>
      </c>
      <c r="B5" s="65" t="inlineStr">
        <is>
          <t>Trusted-proxy / IP trust</t>
        </is>
      </c>
      <c r="C5" s="86" t="inlineStr">
        <is>
          <t>High</t>
        </is>
      </c>
      <c r="D5" s="65" t="inlineStr">
        <is>
          <t>Security review</t>
        </is>
      </c>
      <c r="E5" s="65" t="inlineStr">
        <is>
          <t>Before go-live</t>
        </is>
      </c>
      <c r="F5" s="65" t="inlineStr">
        <is>
          <t>Affects every IP limit</t>
        </is>
      </c>
    </row>
    <row r="6" ht="44" customHeight="1" s="52">
      <c r="A6" s="101" t="inlineStr">
        <is>
          <t>Pre-Development</t>
        </is>
      </c>
      <c r="B6" s="98" t="inlineStr">
        <is>
          <t>Team/ownership gap</t>
        </is>
      </c>
      <c r="C6" s="89" t="inlineStr">
        <is>
          <t>Medium</t>
        </is>
      </c>
      <c r="D6" s="98" t="inlineStr">
        <is>
          <t>Mgmt review</t>
        </is>
      </c>
      <c r="E6" s="98" t="inlineStr">
        <is>
          <t>This quarter</t>
        </is>
      </c>
      <c r="F6" s="98" t="inlineStr">
        <is>
          <t>Staffing decision</t>
        </is>
      </c>
    </row>
    <row r="7" ht="44" customHeight="1" s="52">
      <c r="A7" s="92" t="inlineStr">
        <is>
          <t>Development</t>
        </is>
      </c>
      <c r="B7" s="65" t="inlineStr">
        <is>
          <t>AI agent crash / 500</t>
        </is>
      </c>
      <c r="C7" s="83" t="inlineStr">
        <is>
          <t>Critical</t>
        </is>
      </c>
      <c r="D7" s="65" t="inlineStr">
        <is>
          <t>Smoke test / QA</t>
        </is>
      </c>
      <c r="E7" s="65" t="inlineStr">
        <is>
          <t>&lt; 1 day (DONE)</t>
        </is>
      </c>
      <c r="F7" s="65" t="inlineStr">
        <is>
          <t>Was feature-down; fixed</t>
        </is>
      </c>
    </row>
    <row r="8" ht="44" customHeight="1" s="52">
      <c r="A8" s="92" t="inlineStr">
        <is>
          <t>Development</t>
        </is>
      </c>
      <c r="B8" s="98" t="inlineStr">
        <is>
          <t>Connection held during LLM</t>
        </is>
      </c>
      <c r="C8" s="86" t="inlineStr">
        <is>
          <t>High</t>
        </is>
      </c>
      <c r="D8" s="98" t="inlineStr">
        <is>
          <t>Load test / profiling</t>
        </is>
      </c>
      <c r="E8" s="98" t="inlineStr">
        <is>
          <t>1 sprint</t>
        </is>
      </c>
      <c r="F8" s="98" t="inlineStr">
        <is>
          <t>Scaling root cause</t>
        </is>
      </c>
    </row>
    <row r="9" ht="44" customHeight="1" s="52">
      <c r="A9" s="92" t="inlineStr">
        <is>
          <t>Development</t>
        </is>
      </c>
      <c r="B9" s="65" t="inlineStr">
        <is>
          <t>Prompt injection / tool authz</t>
        </is>
      </c>
      <c r="C9" s="89" t="inlineStr">
        <is>
          <t>High</t>
        </is>
      </c>
      <c r="D9" s="65" t="inlineStr">
        <is>
          <t>Security test</t>
        </is>
      </c>
      <c r="E9" s="65" t="inlineStr">
        <is>
          <t>&lt; 1 sprint</t>
        </is>
      </c>
      <c r="F9" s="65" t="inlineStr">
        <is>
          <t>Money/data at risk</t>
        </is>
      </c>
    </row>
    <row r="10" ht="44" customHeight="1" s="52">
      <c r="A10" s="92" t="inlineStr">
        <is>
          <t>Development</t>
        </is>
      </c>
      <c r="B10" s="98" t="inlineStr">
        <is>
          <t>Performance (loops/N+1)</t>
        </is>
      </c>
      <c r="C10" s="92" t="inlineStr">
        <is>
          <t>Medium</t>
        </is>
      </c>
      <c r="D10" s="98" t="inlineStr">
        <is>
          <t>Profiling</t>
        </is>
      </c>
      <c r="E10" s="98" t="inlineStr">
        <is>
          <t>1-2 sprints</t>
        </is>
      </c>
      <c r="F10" s="98" t="inlineStr">
        <is>
          <t>Latency under load</t>
        </is>
      </c>
    </row>
    <row r="11" ht="44" customHeight="1" s="52">
      <c r="A11" s="92" t="inlineStr">
        <is>
          <t>Development</t>
        </is>
      </c>
      <c r="B11" s="65" t="inlineStr">
        <is>
          <t>Cost (model/fallback)</t>
        </is>
      </c>
      <c r="C11" s="86" t="inlineStr">
        <is>
          <t>High</t>
        </is>
      </c>
      <c r="D11" s="65" t="inlineStr">
        <is>
          <t>Cost review</t>
        </is>
      </c>
      <c r="E11" s="65" t="inlineStr">
        <is>
          <t>DONE</t>
        </is>
      </c>
      <c r="F11" s="65" t="inlineStr">
        <is>
          <t>Fixed: cheap fallback</t>
        </is>
      </c>
    </row>
    <row r="12" ht="44" customHeight="1" s="52">
      <c r="A12" s="92" t="inlineStr">
        <is>
          <t>Development</t>
        </is>
      </c>
      <c r="B12" s="98" t="inlineStr">
        <is>
          <t>Privacy/logging hygiene</t>
        </is>
      </c>
      <c r="C12" s="83" t="inlineStr">
        <is>
          <t>Medium</t>
        </is>
      </c>
      <c r="D12" s="98" t="inlineStr">
        <is>
          <t>Code review</t>
        </is>
      </c>
      <c r="E12" s="98" t="inlineStr">
        <is>
          <t>DONE</t>
        </is>
      </c>
      <c r="F12" s="98" t="inlineStr">
        <is>
          <t>Fixed: PII to DEBUG</t>
        </is>
      </c>
    </row>
    <row r="13" ht="44" customHeight="1" s="52">
      <c r="A13" s="102" t="inlineStr">
        <is>
          <t>Post-Development</t>
        </is>
      </c>
      <c r="B13" s="65" t="inlineStr">
        <is>
          <t>Pool exhaustion / outage</t>
        </is>
      </c>
      <c r="C13" s="83" t="inlineStr">
        <is>
          <t>Critical</t>
        </is>
      </c>
      <c r="D13" s="65" t="inlineStr">
        <is>
          <t>Monitoring/alert</t>
        </is>
      </c>
      <c r="E13" s="65" t="inlineStr">
        <is>
          <t>Immediate (&lt;1h)</t>
        </is>
      </c>
      <c r="F13" s="65" t="inlineStr">
        <is>
          <t>Hypercare SLA</t>
        </is>
      </c>
    </row>
    <row r="14" ht="44" customHeight="1" s="52">
      <c r="A14" s="102" t="inlineStr">
        <is>
          <t>Post-Development</t>
        </is>
      </c>
      <c r="B14" s="98" t="inlineStr">
        <is>
          <t>Payment webhook integrity</t>
        </is>
      </c>
      <c r="C14" s="83" t="inlineStr">
        <is>
          <t>Critical</t>
        </is>
      </c>
      <c r="D14" s="98" t="inlineStr">
        <is>
          <t>Security test</t>
        </is>
      </c>
      <c r="E14" s="98" t="inlineStr">
        <is>
          <t>Immediate</t>
        </is>
      </c>
      <c r="F14" s="98" t="inlineStr">
        <is>
          <t>Financial loss</t>
        </is>
      </c>
    </row>
    <row r="15" ht="44" customHeight="1" s="52">
      <c r="A15" s="102" t="inlineStr">
        <is>
          <t>Post-Development</t>
        </is>
      </c>
      <c r="B15" s="65" t="inlineStr">
        <is>
          <t>Abuse / DoS / cost spike</t>
        </is>
      </c>
      <c r="C15" s="86" t="inlineStr">
        <is>
          <t>High</t>
        </is>
      </c>
      <c r="D15" s="65" t="inlineStr">
        <is>
          <t>Monitoring/WAF</t>
        </is>
      </c>
      <c r="E15" s="65" t="inlineStr">
        <is>
          <t>&lt; 24h</t>
        </is>
      </c>
      <c r="F15" s="65" t="inlineStr">
        <is>
          <t>Cost + availability</t>
        </is>
      </c>
    </row>
    <row r="16" ht="44" customHeight="1" s="52">
      <c r="A16" s="102" t="inlineStr">
        <is>
          <t>Post-Development</t>
        </is>
      </c>
      <c r="B16" s="98" t="inlineStr">
        <is>
          <t>Cost monitoring/alerting</t>
        </is>
      </c>
      <c r="C16" s="89" t="inlineStr">
        <is>
          <t>Medium</t>
        </is>
      </c>
      <c r="D16" s="98" t="inlineStr">
        <is>
          <t>Dashboards</t>
        </is>
      </c>
      <c r="E16" s="98" t="inlineStr">
        <is>
          <t>1-2 sprints</t>
        </is>
      </c>
      <c r="F16" s="98" t="inlineStr">
        <is>
          <t>Late detection</t>
        </is>
      </c>
    </row>
    <row r="17" ht="44" customHeight="1" s="52">
      <c r="A17" s="102" t="inlineStr">
        <is>
          <t>Post-Development</t>
        </is>
      </c>
      <c r="B17" s="65" t="inlineStr">
        <is>
          <t>Redis HA / SPOF</t>
        </is>
      </c>
      <c r="C17" s="86" t="inlineStr">
        <is>
          <t>High</t>
        </is>
      </c>
      <c r="D17" s="65" t="inlineStr">
        <is>
          <t>Infra review</t>
        </is>
      </c>
      <c r="E17" s="65" t="inlineStr">
        <is>
          <t>&lt; 1 sprint</t>
        </is>
      </c>
      <c r="F17" s="65" t="inlineStr">
        <is>
          <t>Multi-control failure</t>
        </is>
      </c>
    </row>
    <row r="18" ht="44" customHeight="1" s="52">
      <c r="A18" s="102" t="inlineStr">
        <is>
          <t>Post-Development</t>
        </is>
      </c>
      <c r="B18" s="98" t="inlineStr">
        <is>
          <t>External dependency failure</t>
        </is>
      </c>
      <c r="C18" s="89" t="inlineStr">
        <is>
          <t>Medium</t>
        </is>
      </c>
      <c r="D18" s="98" t="inlineStr">
        <is>
          <t>Retries/alerts</t>
        </is>
      </c>
      <c r="E18" s="98" t="inlineStr">
        <is>
          <t>1-2 sprints</t>
        </is>
      </c>
      <c r="F18" s="98" t="inlineStr">
        <is>
          <t>Data loss/UX</t>
        </is>
      </c>
    </row>
    <row r="19" ht="44" customHeight="1" s="52">
      <c r="A19" s="102" t="inlineStr">
        <is>
          <t>Post-Development</t>
        </is>
      </c>
      <c r="B19" s="65" t="inlineStr">
        <is>
          <t>Tenant isolation regression</t>
        </is>
      </c>
      <c r="C19" s="83" t="inlineStr">
        <is>
          <t>Critical</t>
        </is>
      </c>
      <c r="D19" s="65" t="inlineStr">
        <is>
          <t>Security test</t>
        </is>
      </c>
      <c r="E19" s="65" t="inlineStr">
        <is>
          <t>Immediate</t>
        </is>
      </c>
      <c r="F19" s="65" t="inlineStr">
        <is>
          <t>Data breach</t>
        </is>
      </c>
    </row>
    <row r="20" ht="44" customHeight="1" s="52">
      <c r="A20" s="102" t="inlineStr">
        <is>
          <t>Post-Development</t>
        </is>
      </c>
      <c r="B20" s="98" t="inlineStr">
        <is>
          <t>Observability gaps</t>
        </is>
      </c>
      <c r="C20" s="92" t="inlineStr">
        <is>
          <t>Low</t>
        </is>
      </c>
      <c r="D20" s="98" t="inlineStr">
        <is>
          <t>Metrics</t>
        </is>
      </c>
      <c r="E20" s="98" t="inlineStr">
        <is>
          <t>Next sprint</t>
        </is>
      </c>
      <c r="F20" s="98" t="inlineStr">
        <is>
          <t>Slow detection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tabSelected="1" workbookViewId="0">
      <selection activeCell="E3" sqref="E3"/>
    </sheetView>
  </sheetViews>
  <sheetFormatPr baseColWidth="10" defaultColWidth="8.83203125" defaultRowHeight="15"/>
  <cols>
    <col width="22" customWidth="1" style="52" min="1" max="1"/>
    <col width="80" customWidth="1" style="52" min="2" max="2"/>
  </cols>
  <sheetData>
    <row r="1" ht="34" customHeight="1" s="52">
      <c r="A1" s="61" t="inlineStr">
        <is>
          <t xml:space="preserve">  How to Use This Tracker</t>
        </is>
      </c>
    </row>
    <row r="3" ht="80" customHeight="1" s="52">
      <c r="A3" s="62" t="inlineStr">
        <is>
          <t xml:space="preserve"> Issue Tracker</t>
        </is>
      </c>
      <c r="B3" s="49" t="inlineStr">
        <is>
          <t>Main working sheet. Add every bug/error here.
• Use dropdown menus for Phase, Priority and Status columns.
• ID is auto-assigned (BE-001, BE-002 …); enter dates in DD/MM/YYYY.
• Time to Fix calculates automatically once Reported &amp; Resolved dates are filled.
• Keep 'Resolution Notes' updated — the team will use it as a knowledge base.</t>
        </is>
      </c>
    </row>
    <row r="4" ht="80" customHeight="1" s="52">
      <c r="A4" s="62" t="inlineStr">
        <is>
          <t>Phase Plan</t>
        </is>
      </c>
      <c r="B4" s="50" t="inlineStr">
        <is>
          <t>High-level delivery roadmap.
• Add Start and End dates for each milestone — Duration auto-calculates.
• Use the Status dropdown (Not Started / In Progress / Completed / Blocked / Deferred).
• Update regularly during sprint reviews.</t>
        </is>
      </c>
    </row>
    <row r="5" ht="80" customHeight="1" s="52">
      <c r="A5" s="62" t="inlineStr">
        <is>
          <t xml:space="preserve"> Priority Matrix</t>
        </is>
      </c>
      <c r="B5" s="49" t="inlineStr">
        <is>
          <t>Reference sheet — do not edit.
• Defines what Critical / High / Medium / Low mean for this project.
• Response and Resolution SLAs are binding during Hypercare (30 days post-launch).
• Use the colour legend at the bottom when reviewing any sheet.</t>
        </is>
      </c>
    </row>
    <row r="6" ht="80" customHeight="1" s="52">
      <c r="A6" s="62" t="inlineStr">
        <is>
          <t xml:space="preserve"> Dashboard</t>
        </is>
      </c>
      <c r="B6" s="50" t="inlineStr">
        <is>
          <t>Auto-calculated summary — do not edit directly.
• Counts update as you fill in the Issue Tracker.
• Share a screenshot of this tab in weekly status reports.
• If counts look wrong, ensure Phase / Priority / Status values match the dropdowns exactly.</t>
        </is>
      </c>
    </row>
    <row r="7" ht="80" customHeight="1" s="52">
      <c r="A7" s="62" t="inlineStr">
        <is>
          <t xml:space="preserve"> Timeframes</t>
        </is>
      </c>
      <c r="B7" s="49" t="inlineStr">
        <is>
          <t>SLA reference for every combination of phase and priority.
• Use this when setting Target Dates in the Issue Tracker.
• Deviation from these windows must be approved by the Tech Lead and logged in Remarks.</t>
        </is>
      </c>
    </row>
    <row r="8" ht="80" customHeight="1" s="52">
      <c r="A8" s="62" t="inlineStr">
        <is>
          <t>How to Use</t>
        </is>
      </c>
      <c r="B8" s="50" t="inlineStr">
        <is>
          <t>This sheet. Pin to your browser tab and share with all team members before the first sprint.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2026-06-10T10:45:32Z</dcterms:created>
  <dcterms:modified xmlns:dcterms="http://purl.org/dc/terms/" xmlns:xsi="http://www.w3.org/2001/XMLSchema-instance" xsi:type="dcterms:W3CDTF">2026-06-10T11:28:50Z</dcterms:modified>
  <cp:lastModifiedBy>Vishal  Ajwani</cp:lastModifiedBy>
</cp:coreProperties>
</file>