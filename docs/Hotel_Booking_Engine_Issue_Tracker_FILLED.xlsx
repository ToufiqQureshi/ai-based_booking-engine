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800" windowHeight="15900" tabRatio="600" firstSheet="0" activeTab="5" autoFilterDateGrouping="1"/>
  </bookViews>
  <sheets>
    <sheet name=" Issue Tracker" sheetId="1" state="visible" r:id="rId1"/>
    <sheet name="Load &amp; Cost Scenarios" sheetId="2" state="visible" r:id="rId2"/>
    <sheet name="Team &amp; Hiring" sheetId="3" state="visible" r:id="rId3"/>
    <sheet name="Phase Plan" sheetId="4" state="visible" r:id="rId4"/>
    <sheet name=" Priority Matrix" sheetId="5" state="visible" r:id="rId5"/>
    <sheet name=" Dashboard" sheetId="6" state="visible" r:id="rId6"/>
    <sheet name=" Timeframes" sheetId="7" state="visible" r:id="rId7"/>
    <sheet name="How to Use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7F8C8D"/>
      <sz val="10"/>
    </font>
    <font>
      <name val="Arial"/>
      <b val="1"/>
      <color rgb="FFFFFFFF"/>
      <sz val="10"/>
    </font>
    <font>
      <name val="Arial"/>
      <b val="1"/>
      <color rgb="FF1B2A4A"/>
      <sz val="10"/>
    </font>
    <font>
      <name val="Arial"/>
      <color rgb="FF1B2A4A"/>
      <sz val="10"/>
    </font>
    <font>
      <name val="Arial"/>
      <color rgb="FF2C3E50"/>
      <sz val="10"/>
    </font>
    <font>
      <name val="Arial"/>
      <b val="1"/>
      <color rgb="FFFFFFFF"/>
      <sz val="14"/>
    </font>
    <font>
      <name val="Arial"/>
      <b val="1"/>
      <color rgb="FF1B2A4A"/>
      <sz val="9"/>
    </font>
    <font>
      <name val="Arial"/>
      <i val="1"/>
      <color rgb="FF7F8C8D"/>
      <sz val="9"/>
    </font>
    <font>
      <name val="Arial"/>
      <b val="1"/>
      <color rgb="FFFFFFFF"/>
      <sz val="11"/>
    </font>
    <font>
      <name val="Arial"/>
      <b val="1"/>
      <sz val="10"/>
    </font>
    <font>
      <name val="Arial"/>
      <sz val="10"/>
    </font>
    <font>
      <name val="Arial"/>
      <b val="1"/>
      <color rgb="FF2E5DA6"/>
      <sz val="10"/>
    </font>
    <font>
      <name val="Arial"/>
      <b val="1"/>
      <color rgb="FF1B2A4A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b val="1"/>
      <color rgb="FF1F3864"/>
      <sz val="13"/>
    </font>
  </fonts>
  <fills count="22">
    <fill>
      <patternFill/>
    </fill>
    <fill>
      <patternFill patternType="gray125"/>
    </fill>
    <fill>
      <patternFill patternType="solid">
        <fgColor rgb="FF1B2A4A"/>
      </patternFill>
    </fill>
    <fill>
      <patternFill patternType="solid">
        <fgColor rgb="FFF0F3F8"/>
      </patternFill>
    </fill>
    <fill>
      <patternFill patternType="solid">
        <fgColor rgb="FF2E5DA6"/>
      </patternFill>
    </fill>
    <fill>
      <patternFill patternType="solid">
        <fgColor rgb="FFFFFFFF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F5F6FA"/>
      </patternFill>
    </fill>
    <fill>
      <patternFill patternType="solid">
        <fgColor rgb="FFFDEBD0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17A589"/>
      </patternFill>
    </fill>
    <fill>
      <patternFill patternType="solid">
        <fgColor rgb="FFD5D8DC"/>
      </patternFill>
    </fill>
    <fill>
      <patternFill patternType="solid">
        <fgColor rgb="FFC6D9F1"/>
      </patternFill>
    </fill>
    <fill>
      <patternFill patternType="solid">
        <fgColor rgb="FFF39C12"/>
      </patternFill>
    </fill>
    <fill>
      <patternFill patternType="solid">
        <fgColor rgb="FFF6B26B"/>
      </patternFill>
    </fill>
    <fill>
      <patternFill patternType="solid">
        <fgColor rgb="FFF4CCCC"/>
      </patternFill>
    </fill>
    <fill>
      <patternFill patternType="solid">
        <fgColor rgb="FFE06666"/>
      </patternFill>
    </fill>
    <fill>
      <patternFill patternType="solid">
        <fgColor rgb="FFFFD966"/>
      </patternFill>
    </fill>
    <fill>
      <patternFill patternType="solid">
        <fgColor rgb="FF93C47D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thin">
        <color rgb="FFBDC3C7"/>
      </top>
      <bottom/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11" fillId="14" borderId="1" applyAlignment="1" pivotButton="0" quotePrefix="0" xfId="0">
      <alignment horizontal="center" vertical="center"/>
    </xf>
    <xf numFmtId="0" fontId="11" fillId="15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left" vertical="center"/>
    </xf>
    <xf numFmtId="0" fontId="11" fillId="14" borderId="1" pivotButton="0" quotePrefix="0" xfId="0"/>
    <xf numFmtId="0" fontId="4" fillId="14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/>
    </xf>
    <xf numFmtId="0" fontId="12" fillId="10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4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top" wrapText="1"/>
    </xf>
    <xf numFmtId="0" fontId="4" fillId="5" borderId="6" applyAlignment="1" pivotButton="0" quotePrefix="0" xfId="0">
      <alignment horizontal="center" vertical="center" wrapText="1"/>
    </xf>
    <xf numFmtId="0" fontId="5" fillId="6" borderId="6" applyAlignment="1" pivotButton="0" quotePrefix="0" xfId="0">
      <alignment horizontal="left" vertical="top" wrapText="1"/>
    </xf>
    <xf numFmtId="0" fontId="5" fillId="5" borderId="6" applyAlignment="1" pivotButton="0" quotePrefix="0" xfId="0">
      <alignment horizontal="left" vertical="top" wrapText="1"/>
    </xf>
    <xf numFmtId="0" fontId="4" fillId="5" borderId="6" applyAlignment="1" pivotButton="0" quotePrefix="0" xfId="0">
      <alignment horizontal="left" vertical="top" wrapText="1"/>
    </xf>
    <xf numFmtId="0" fontId="4" fillId="17" borderId="6" applyAlignment="1" pivotButton="0" quotePrefix="0" xfId="0">
      <alignment horizontal="center" vertical="center" wrapText="1"/>
    </xf>
    <xf numFmtId="0" fontId="5" fillId="18" borderId="6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6" fillId="5" borderId="6" applyAlignment="1" pivotButton="0" quotePrefix="0" xfId="0">
      <alignment horizontal="center" vertical="center" wrapText="1"/>
    </xf>
    <xf numFmtId="0" fontId="4" fillId="19" borderId="6" applyAlignment="1" pivotButton="0" quotePrefix="0" xfId="0">
      <alignment horizontal="center" vertical="center" wrapText="1"/>
    </xf>
    <xf numFmtId="0" fontId="4" fillId="20" borderId="6" applyAlignment="1" pivotButton="0" quotePrefix="0" xfId="0">
      <alignment horizontal="center" vertical="center" wrapText="1"/>
    </xf>
    <xf numFmtId="0" fontId="4" fillId="21" borderId="6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7" fillId="0" borderId="6" applyAlignment="1" pivotButton="0" quotePrefix="0" xfId="0">
      <alignment horizontal="center" vertical="center" wrapText="1"/>
    </xf>
    <xf numFmtId="0" fontId="3" fillId="4" borderId="6" applyAlignment="1" pivotButton="0" quotePrefix="0" xfId="0">
      <alignment horizontal="center" vertical="center" wrapText="1"/>
    </xf>
    <xf numFmtId="0" fontId="12" fillId="0" borderId="6" applyAlignment="1" pivotButton="0" quotePrefix="0" xfId="0">
      <alignment horizontal="left" vertical="top" wrapText="1"/>
    </xf>
    <xf numFmtId="0" fontId="11" fillId="0" borderId="6" applyAlignment="1" pivotButton="0" quotePrefix="0" xfId="0">
      <alignment horizontal="left" vertical="top" wrapText="1"/>
    </xf>
    <xf numFmtId="0" fontId="5" fillId="6" borderId="6" applyAlignment="1" pivotButton="0" quotePrefix="0" xfId="0">
      <alignment horizontal="center" vertical="center" wrapText="1"/>
    </xf>
    <xf numFmtId="0" fontId="5" fillId="8" borderId="6" applyAlignment="1" pivotButton="0" quotePrefix="0" xfId="0">
      <alignment horizontal="left" vertical="top" wrapText="1"/>
    </xf>
    <xf numFmtId="0" fontId="5" fillId="8" borderId="6" applyAlignment="1" pivotButton="0" quotePrefix="0" xfId="0">
      <alignment horizontal="center" vertical="center" wrapText="1"/>
    </xf>
    <xf numFmtId="0" fontId="5" fillId="10" borderId="6" applyAlignment="1" pivotButton="0" quotePrefix="0" xfId="0">
      <alignment horizontal="center" vertical="center" wrapText="1"/>
    </xf>
    <xf numFmtId="0" fontId="5" fillId="12" borderId="6" applyAlignment="1" pivotButton="0" quotePrefix="0" xfId="0">
      <alignment horizontal="center" vertical="center" wrapText="1"/>
    </xf>
    <xf numFmtId="0" fontId="4" fillId="7" borderId="6" applyAlignment="1" pivotButton="0" quotePrefix="0" xfId="0">
      <alignment horizontal="center" vertical="center" wrapText="1"/>
    </xf>
    <xf numFmtId="0" fontId="5" fillId="7" borderId="6" applyAlignment="1" pivotButton="0" quotePrefix="0" xfId="0">
      <alignment horizontal="left" vertical="top" wrapText="1"/>
    </xf>
    <xf numFmtId="0" fontId="5" fillId="7" borderId="6" applyAlignment="1" pivotButton="0" quotePrefix="0" xfId="0">
      <alignment horizontal="center" vertical="center" wrapText="1"/>
    </xf>
    <xf numFmtId="0" fontId="4" fillId="9" borderId="6" applyAlignment="1" pivotButton="0" quotePrefix="0" xfId="0">
      <alignment horizontal="center" vertical="center" wrapText="1"/>
    </xf>
    <xf numFmtId="0" fontId="5" fillId="9" borderId="6" applyAlignment="1" pivotButton="0" quotePrefix="0" xfId="0">
      <alignment horizontal="left" vertical="top" wrapText="1"/>
    </xf>
    <xf numFmtId="0" fontId="5" fillId="9" borderId="6" applyAlignment="1" pivotButton="0" quotePrefix="0" xfId="0">
      <alignment horizontal="center" vertical="center" wrapText="1"/>
    </xf>
    <xf numFmtId="0" fontId="4" fillId="11" borderId="6" applyAlignment="1" pivotButton="0" quotePrefix="0" xfId="0">
      <alignment horizontal="center" vertical="center" wrapText="1"/>
    </xf>
    <xf numFmtId="0" fontId="5" fillId="11" borderId="6" applyAlignment="1" pivotButton="0" quotePrefix="0" xfId="0">
      <alignment horizontal="left" vertical="top" wrapText="1"/>
    </xf>
    <xf numFmtId="0" fontId="5" fillId="11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center" vertical="center" wrapText="1"/>
    </xf>
    <xf numFmtId="0" fontId="5" fillId="10" borderId="6" applyAlignment="1" pivotButton="0" quotePrefix="0" xfId="0">
      <alignment horizontal="left" vertical="top" wrapText="1"/>
    </xf>
    <xf numFmtId="0" fontId="4" fillId="6" borderId="6" applyAlignment="1" pivotButton="0" quotePrefix="0" xfId="0">
      <alignment horizontal="center" vertical="center" wrapText="1"/>
    </xf>
    <xf numFmtId="0" fontId="4" fillId="12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7"/>
  <sheetViews>
    <sheetView showGridLines="0" zoomScale="125" workbookViewId="0">
      <pane ySplit="3" topLeftCell="A4" activePane="bottomLeft" state="frozen"/>
      <selection pane="bottomLeft" activeCell="C5" sqref="C5"/>
    </sheetView>
  </sheetViews>
  <sheetFormatPr baseColWidth="10" defaultColWidth="8.83203125" defaultRowHeight="15"/>
  <cols>
    <col width="4" customWidth="1" style="52" min="1" max="1"/>
    <col width="14" customWidth="1" style="52" min="2" max="2"/>
    <col width="18" customWidth="1" style="52" min="3" max="3"/>
    <col width="38" customWidth="1" style="52" min="4" max="4"/>
    <col width="45" customWidth="1" style="52" min="5" max="5"/>
    <col width="35" customWidth="1" style="52" min="6" max="6"/>
    <col width="40" customWidth="1" style="52" min="7" max="7"/>
    <col width="12" customWidth="1" style="52" min="8" max="8"/>
    <col width="14" customWidth="1" style="52" min="9" max="9"/>
    <col width="18" customWidth="1" style="52" min="10" max="10"/>
    <col width="14" customWidth="1" style="52" min="11" max="13"/>
    <col width="38" customWidth="1" style="52" min="14" max="14"/>
    <col width="16" customWidth="1" style="52" min="15" max="15"/>
    <col width="28" customWidth="1" style="52" min="16" max="16"/>
  </cols>
  <sheetData>
    <row r="1" ht="36" customHeight="1" s="52">
      <c r="A1" s="51" t="inlineStr">
        <is>
          <t>🏨  Hotel Booking Engine — Issue &amp; Error Tracker</t>
        </is>
      </c>
    </row>
    <row r="2" ht="20" customHeight="1" s="52">
      <c r="A2" s="53" t="inlineStr">
        <is>
          <t>Track pre-development, development &amp; post-launch errors | Assign ownership | Monitor resolution</t>
        </is>
      </c>
    </row>
    <row r="3" ht="34" customHeight="1" s="52">
      <c r="A3" s="1" t="inlineStr">
        <is>
          <t>ID</t>
        </is>
      </c>
      <c r="B3" s="1" t="inlineStr">
        <is>
          <t>Phase</t>
        </is>
      </c>
      <c r="C3" s="1" t="inlineStr">
        <is>
          <t>Category</t>
        </is>
      </c>
      <c r="D3" s="1" t="inlineStr">
        <is>
          <t>Error / Issue</t>
        </is>
      </c>
      <c r="E3" s="1" t="inlineStr">
        <is>
          <t>Description</t>
        </is>
      </c>
      <c r="F3" s="1" t="inlineStr">
        <is>
          <t>Root Cause</t>
        </is>
      </c>
      <c r="G3" s="1" t="inlineStr">
        <is>
          <t>Recommended Fix</t>
        </is>
      </c>
      <c r="H3" s="1" t="inlineStr">
        <is>
          <t>Priority</t>
        </is>
      </c>
      <c r="I3" s="1" t="inlineStr">
        <is>
          <t>Status</t>
        </is>
      </c>
      <c r="J3" s="1" t="inlineStr">
        <is>
          <t>Assigned To</t>
        </is>
      </c>
      <c r="K3" s="1" t="inlineStr">
        <is>
          <t>Reported Date</t>
        </is>
      </c>
      <c r="L3" s="1" t="inlineStr">
        <is>
          <t>Target Date</t>
        </is>
      </c>
      <c r="M3" s="1" t="inlineStr">
        <is>
          <t>Resolved Date</t>
        </is>
      </c>
      <c r="N3" s="1" t="inlineStr">
        <is>
          <t>Resolution Notes</t>
        </is>
      </c>
      <c r="O3" s="1" t="inlineStr">
        <is>
          <t>Time to Fix (days)</t>
        </is>
      </c>
      <c r="P3" s="1" t="inlineStr">
        <is>
          <t>Remarks</t>
        </is>
      </c>
    </row>
    <row r="4" ht="90" customHeight="1" s="52">
      <c r="A4" s="63" t="inlineStr">
        <is>
          <t>BE-001</t>
        </is>
      </c>
      <c r="B4" s="64" t="inlineStr">
        <is>
          <t>Pre-Development</t>
        </is>
      </c>
      <c r="C4" s="65" t="inlineStr">
        <is>
          <t>AI / Cost Governance</t>
        </is>
      </c>
      <c r="D4" s="66" t="inlineStr">
        <is>
          <t>No defined per-hotel AI spend budget or billing pass-through</t>
        </is>
      </c>
      <c r="E4" s="65" t="inlineStr">
        <is>
          <t>Token usage is recorded (ai_tokens:{hotel_id}:{date} in Redis, ai_usage.py) but there is no budget, no alert threshold, and LLM cost is not billed back to hotels.</t>
        </is>
      </c>
      <c r="F4" s="65" t="inlineStr">
        <is>
          <t>Cost governance was never defined as a requirement before building AI features.</t>
        </is>
      </c>
      <c r="G4" s="65" t="inlineStr">
        <is>
          <t>Define a monthly AI cost ceiling per plan tier; add alerting on the ai_tokens counters; decide pass-through vs absorbed cost.</t>
        </is>
      </c>
      <c r="H4" s="67" t="inlineStr">
        <is>
          <t>High</t>
        </is>
      </c>
      <c r="I4" s="68" t="inlineStr">
        <is>
          <t>Open</t>
        </is>
      </c>
      <c r="J4" s="65" t="inlineStr">
        <is>
          <t>Tech Lead / Founder</t>
        </is>
      </c>
      <c r="K4" s="69" t="inlineStr">
        <is>
          <t>10/06/2026</t>
        </is>
      </c>
      <c r="L4" s="65" t="inlineStr"/>
      <c r="M4" s="65" t="inlineStr"/>
      <c r="N4" s="65" t="inlineStr"/>
      <c r="O4" s="70">
        <f>IF(AND(K4&lt;&gt;"",M4&lt;&gt;""),M4-K4,"")</f>
        <v/>
      </c>
      <c r="P4" s="65" t="inlineStr">
        <is>
          <t>Uncontrolled LLM bill grows silently with usage; margin erosion is discovered only on the monthly cloud invoice.</t>
        </is>
      </c>
    </row>
    <row r="5" ht="90" customHeight="1" s="52">
      <c r="A5" s="63" t="inlineStr">
        <is>
          <t>BE-002</t>
        </is>
      </c>
      <c r="B5" s="64" t="inlineStr">
        <is>
          <t>Pre-Development</t>
        </is>
      </c>
      <c r="C5" s="65" t="inlineStr">
        <is>
          <t>Infrastructure / Trust</t>
        </is>
      </c>
      <c r="D5" s="66" t="inlineStr">
        <is>
          <t>Trusted reverse-proxy hop for client IP never defined</t>
        </is>
      </c>
      <c r="E5" s="65" t="inlineStr">
        <is>
          <t>Rate limiting keys on the FIRST X-Forwarded-For value (limiter.py get_real_ip), which the client fully controls behind most proxies.</t>
        </is>
      </c>
      <c r="F5" s="65" t="inlineStr">
        <is>
          <t>No decision on which proxy hop is trustworthy; XFF taken at face value.</t>
        </is>
      </c>
      <c r="G5" s="65" t="inlineStr">
        <is>
          <t>Pin the trusted proxy and read the client IP from the correct hop (or use a CDN-verified header); document the deployment topology.</t>
        </is>
      </c>
      <c r="H5" s="71" t="inlineStr">
        <is>
          <t>Critical</t>
        </is>
      </c>
      <c r="I5" s="68" t="inlineStr">
        <is>
          <t>Open</t>
        </is>
      </c>
      <c r="J5" s="65" t="inlineStr">
        <is>
          <t>DevOps / Backend Dev</t>
        </is>
      </c>
      <c r="K5" s="69" t="inlineStr">
        <is>
          <t>10/06/2026</t>
        </is>
      </c>
      <c r="L5" s="65" t="inlineStr"/>
      <c r="M5" s="65" t="inlineStr"/>
      <c r="N5" s="65" t="inlineStr"/>
      <c r="O5" s="70">
        <f>IF(AND(K5&lt;&gt;"",M5&lt;&gt;""),M5-K5,"")</f>
        <v/>
      </c>
      <c r="P5" s="65" t="inlineStr">
        <is>
          <t>Every IP-based limit (login, public booking, AI chat) is bypassable by spoofing a header -&gt; abuse and cost controls are porous.</t>
        </is>
      </c>
    </row>
    <row r="6" ht="90" customHeight="1" s="52">
      <c r="A6" s="63" t="inlineStr">
        <is>
          <t>BE-003</t>
        </is>
      </c>
      <c r="B6" s="64" t="inlineStr">
        <is>
          <t>Pre-Development</t>
        </is>
      </c>
      <c r="C6" s="65" t="inlineStr">
        <is>
          <t>Reliability / Design</t>
        </is>
      </c>
      <c r="D6" s="66" t="inlineStr">
        <is>
          <t>Security controls are fail-OPEN on Redis outage</t>
        </is>
      </c>
      <c r="E6" s="65" t="inlineStr">
        <is>
          <t>_enforce_hotel_ai_quota (chat.py) and the rate limiter silently allow all traffic when Redis is unreachable; quota/limits simply stop applying.</t>
        </is>
      </c>
      <c r="F6" s="65" t="inlineStr">
        <is>
          <t>Availability was prioritised over safety in the original design; no fallback budget.</t>
        </is>
      </c>
      <c r="G6" s="65" t="inlineStr">
        <is>
          <t>Make cost-bearing controls fail-closed or degrade to a conservative in-process limit; add Redis health alerting.</t>
        </is>
      </c>
      <c r="H6" s="67" t="inlineStr">
        <is>
          <t>High</t>
        </is>
      </c>
      <c r="I6" s="68" t="inlineStr">
        <is>
          <t>Open</t>
        </is>
      </c>
      <c r="J6" s="65" t="inlineStr">
        <is>
          <t>Backend Dev</t>
        </is>
      </c>
      <c r="K6" s="69" t="inlineStr">
        <is>
          <t>10/06/2026</t>
        </is>
      </c>
      <c r="L6" s="65" t="inlineStr"/>
      <c r="M6" s="65" t="inlineStr"/>
      <c r="N6" s="65" t="inlineStr"/>
      <c r="O6" s="70">
        <f>IF(AND(K6&lt;&gt;"",M6&lt;&gt;""),M6-K6,"")</f>
        <v/>
      </c>
      <c r="P6" s="65" t="inlineStr">
        <is>
          <t>A Redis blip removes all abuse/cost protection at once -&gt; a spike during an outage can run an unbounded LLM/DB bill.</t>
        </is>
      </c>
    </row>
    <row r="7" ht="90" customHeight="1" s="52">
      <c r="A7" s="63" t="inlineStr">
        <is>
          <t>BE-004</t>
        </is>
      </c>
      <c r="B7" s="64" t="inlineStr">
        <is>
          <t>Pre-Development</t>
        </is>
      </c>
      <c r="C7" s="65" t="inlineStr">
        <is>
          <t>Capacity Planning</t>
        </is>
      </c>
      <c r="D7" s="66" t="inlineStr">
        <is>
          <t>Peak-load / stress test never executed before launch</t>
        </is>
      </c>
      <c r="E7" s="65" t="inlineStr">
        <is>
          <t>A load-test script exists (scripts/load_test.py) and SCALE_TUNING.md documents the math, but no evidence it was run at expected peak concurrency.</t>
        </is>
      </c>
      <c r="F7" s="65" t="inlineStr">
        <is>
          <t>Go-live checklist item left unchecked.</t>
        </is>
      </c>
      <c r="G7" s="65" t="inlineStr">
        <is>
          <t>Run load_test.py against staging at expected peak; tune WEB_CONCURRENCY and pool to stay under the Supabase connection limit.</t>
        </is>
      </c>
      <c r="H7" s="67" t="inlineStr">
        <is>
          <t>High</t>
        </is>
      </c>
      <c r="I7" s="68" t="inlineStr">
        <is>
          <t>Open</t>
        </is>
      </c>
      <c r="J7" s="65" t="inlineStr">
        <is>
          <t>DevOps / Backend Dev</t>
        </is>
      </c>
      <c r="K7" s="69" t="inlineStr">
        <is>
          <t>10/06/2026</t>
        </is>
      </c>
      <c r="L7" s="65" t="inlineStr"/>
      <c r="M7" s="65" t="inlineStr"/>
      <c r="N7" s="65" t="inlineStr"/>
      <c r="O7" s="70">
        <f>IF(AND(K7&lt;&gt;"",M7&lt;&gt;""),M7-K7,"")</f>
        <v/>
      </c>
      <c r="P7" s="65" t="inlineStr">
        <is>
          <t>First real traffic spike becomes the load test in production; the ceiling is discovered by an outage, not a graph.</t>
        </is>
      </c>
    </row>
    <row r="8" ht="90" customHeight="1" s="52">
      <c r="A8" s="63" t="inlineStr">
        <is>
          <t>BE-005</t>
        </is>
      </c>
      <c r="B8" s="64" t="inlineStr">
        <is>
          <t>Pre-Development</t>
        </is>
      </c>
      <c r="C8" s="65" t="inlineStr">
        <is>
          <t>Capacity Planning</t>
        </is>
      </c>
      <c r="D8" s="66" t="inlineStr">
        <is>
          <t>DB connection budget not validated for AI workloads</t>
        </is>
      </c>
      <c r="E8" s="65" t="inlineStr">
        <is>
          <t>Default pool is 10 conns/worker; AI chat holds a DB connection for the whole multi-second LLM call, so effective concurrency is far lower than assumed.</t>
        </is>
      </c>
      <c r="F8" s="65" t="inlineStr">
        <is>
          <t>Connection math in SCALE_TUNING.md assumes short requests; long-held AI requests were not modelled.</t>
        </is>
      </c>
      <c r="G8" s="65" t="inlineStr">
        <is>
          <t>Model AI concurrency separately; release the DB session before the LLM round-trip (see BE-Dev item); size the pool against Supabase limit.</t>
        </is>
      </c>
      <c r="H8" s="71" t="inlineStr">
        <is>
          <t>Critical</t>
        </is>
      </c>
      <c r="I8" s="68" t="inlineStr">
        <is>
          <t>Open</t>
        </is>
      </c>
      <c r="J8" s="65" t="inlineStr">
        <is>
          <t>Backend Dev</t>
        </is>
      </c>
      <c r="K8" s="69" t="inlineStr">
        <is>
          <t>10/06/2026</t>
        </is>
      </c>
      <c r="L8" s="65" t="inlineStr"/>
      <c r="M8" s="65" t="inlineStr"/>
      <c r="N8" s="65" t="inlineStr"/>
      <c r="O8" s="70">
        <f>IF(AND(K8&lt;&gt;"",M8&lt;&gt;""),M8-K8,"")</f>
        <v/>
      </c>
      <c r="P8" s="65" t="inlineStr">
        <is>
          <t>Connection pool exhaustion takes down the ENTIRE API (not just AI) when many chats run at once.</t>
        </is>
      </c>
    </row>
    <row r="9" ht="90" customHeight="1" s="52">
      <c r="A9" s="63" t="inlineStr">
        <is>
          <t>BE-006</t>
        </is>
      </c>
      <c r="B9" s="64" t="inlineStr">
        <is>
          <t>Pre-Development</t>
        </is>
      </c>
      <c r="C9" s="65" t="inlineStr">
        <is>
          <t>Team / Ownership</t>
        </is>
      </c>
      <c r="D9" s="66" t="inlineStr">
        <is>
          <t>No dedicated backend / frontend engineering ownership</t>
        </is>
      </c>
      <c r="E9" s="65" t="inlineStr">
        <is>
          <t>The codebase is large (~70 routers, 250+ endpoints, payments, multi-tenant, AI) but there is no named owner for backend reliability or frontend UX/perf.</t>
        </is>
      </c>
      <c r="F9" s="65" t="inlineStr">
        <is>
          <t>Project grew faster than the team.</t>
        </is>
      </c>
      <c r="G9" s="65" t="inlineStr">
        <is>
          <t>Hire 1 backend and 1 frontend engineer (see 'Team &amp; Hiring' sheet for scoped responsibilities).</t>
        </is>
      </c>
      <c r="H9" s="67" t="inlineStr">
        <is>
          <t>High</t>
        </is>
      </c>
      <c r="I9" s="68" t="inlineStr">
        <is>
          <t>Open</t>
        </is>
      </c>
      <c r="J9" s="65" t="inlineStr">
        <is>
          <t>Founder</t>
        </is>
      </c>
      <c r="K9" s="69" t="inlineStr">
        <is>
          <t>10/06/2026</t>
        </is>
      </c>
      <c r="L9" s="65" t="inlineStr"/>
      <c r="M9" s="65" t="inlineStr"/>
      <c r="N9" s="65" t="inlineStr"/>
      <c r="O9" s="70">
        <f>IF(AND(K9&lt;&gt;"",M9&lt;&gt;""),M9-K9,"")</f>
        <v/>
      </c>
      <c r="P9" s="65" t="inlineStr">
        <is>
          <t>Single-maintainer risk: critical bugs (e.g. the AI crash below) sit unowned; slow response breaches the Hypercare SLAs.</t>
        </is>
      </c>
    </row>
    <row r="10" ht="90" customHeight="1" s="52">
      <c r="A10" s="63" t="inlineStr">
        <is>
          <t>BE-007</t>
        </is>
      </c>
      <c r="B10" s="64" t="inlineStr">
        <is>
          <t>Development</t>
        </is>
      </c>
      <c r="C10" s="65" t="inlineStr">
        <is>
          <t>AI Agent / Bug</t>
        </is>
      </c>
      <c r="D10" s="66" t="inlineStr">
        <is>
          <t>Hotelier AI Assistant crashes on EVERY message (logger undefined)</t>
        </is>
      </c>
      <c r="E10" s="65" t="inlineStr">
        <is>
          <t>agent.py uses logger.info() at line 797 and logger.warning() at 809, but 'logger' is never imported or defined in the module. Any non-empty user query hits the NameError.</t>
        </is>
      </c>
      <c r="F10" s="65" t="inlineStr">
        <is>
          <t>Missing `import logging; logger = logging.getLogger(__name__)` in app/core/agent.py.</t>
        </is>
      </c>
      <c r="G10" s="65" t="inlineStr">
        <is>
          <t>Add the logger definition at module top; add a smoke test that calls create_agent_executor with a real query.</t>
        </is>
      </c>
      <c r="H10" s="71" t="inlineStr">
        <is>
          <t>Critical</t>
        </is>
      </c>
      <c r="I10" s="68" t="inlineStr">
        <is>
          <t>Open</t>
        </is>
      </c>
      <c r="J10" s="65" t="inlineStr">
        <is>
          <t>Backend Dev</t>
        </is>
      </c>
      <c r="K10" s="69" t="inlineStr">
        <is>
          <t>10/06/2026</t>
        </is>
      </c>
      <c r="L10" s="65" t="inlineStr"/>
      <c r="M10" s="65" t="inlineStr"/>
      <c r="N10" s="65" t="inlineStr"/>
      <c r="O10" s="70">
        <f>IF(AND(K10&lt;&gt;"",M10&lt;&gt;""),M10-K10,"")</f>
        <v/>
      </c>
      <c r="P10" s="65" t="inlineStr">
        <is>
          <t>The paid hotelier AI assistant feature is effectively 100% broken -&gt; returns 500 'AI Agent Error' on every request; churn + refund risk.</t>
        </is>
      </c>
    </row>
    <row r="11" ht="90" customHeight="1" s="52">
      <c r="A11" s="63" t="inlineStr">
        <is>
          <t>BE-008</t>
        </is>
      </c>
      <c r="B11" s="64" t="inlineStr">
        <is>
          <t>Development</t>
        </is>
      </c>
      <c r="C11" s="65" t="inlineStr">
        <is>
          <t>AI / Scaling</t>
        </is>
      </c>
      <c r="D11" s="66" t="inlineStr">
        <is>
          <t>AI chat holds a Postgres connection for the entire LLM round-trip</t>
        </is>
      </c>
      <c r="E11" s="65" t="inlineStr">
        <is>
          <t>chat.py and agent.py inject DbSession and keep it open while agent.arun() runs (seconds per call, 1-2 calls). The connection is not released during the slow LLM I/O.</t>
        </is>
      </c>
      <c r="F11" s="65" t="inlineStr">
        <is>
          <t>Request-scoped DB session spans the LLM call instead of being released before it.</t>
        </is>
      </c>
      <c r="G11" s="65" t="inlineStr">
        <is>
          <t>Fetch all DB data first, release the session, then run the LLM; or use a short-lived session per tool call.</t>
        </is>
      </c>
      <c r="H11" s="71" t="inlineStr">
        <is>
          <t>Critical</t>
        </is>
      </c>
      <c r="I11" s="68" t="inlineStr">
        <is>
          <t>Open</t>
        </is>
      </c>
      <c r="J11" s="65" t="inlineStr">
        <is>
          <t>Backend Dev</t>
        </is>
      </c>
      <c r="K11" s="69" t="inlineStr">
        <is>
          <t>10/06/2026</t>
        </is>
      </c>
      <c r="L11" s="65" t="inlineStr"/>
      <c r="M11" s="65" t="inlineStr"/>
      <c r="N11" s="65" t="inlineStr"/>
      <c r="O11" s="70">
        <f>IF(AND(K11&lt;&gt;"",M11&lt;&gt;""),M11-K11,"")</f>
        <v/>
      </c>
      <c r="P11" s="65" t="inlineStr">
        <is>
          <t>~10-20 concurrent chats can exhaust the pool and 500 the whole site; this is the link between an AI spike and a full outage.</t>
        </is>
      </c>
    </row>
    <row r="12" ht="90" customHeight="1" s="52">
      <c r="A12" s="63" t="inlineStr">
        <is>
          <t>BE-009</t>
        </is>
      </c>
      <c r="B12" s="64" t="inlineStr">
        <is>
          <t>Development</t>
        </is>
      </c>
      <c r="C12" s="65" t="inlineStr">
        <is>
          <t>AI / Cost</t>
        </is>
      </c>
      <c r="D12" s="66" t="inlineStr">
        <is>
          <t>Error fallback escalates to expensive 70B model and doubles LLM calls</t>
        </is>
      </c>
      <c r="E12" s="65" t="inlineStr">
        <is>
          <t>On any guest-agent error, chat.py retries without tools using llama-3.3-70b-versatile (line 319) — a pricier model — after already paying for the failed call.</t>
        </is>
      </c>
      <c r="F12" s="65" t="inlineStr">
        <is>
          <t>Fallback defaults to a large model and re-runs the full conversation.</t>
        </is>
      </c>
      <c r="G12" s="65" t="inlineStr">
        <is>
          <t>Fallback to the same cheap 8B model; cap fallback to one attempt; don't replay full history.</t>
        </is>
      </c>
      <c r="H12" s="67" t="inlineStr">
        <is>
          <t>High</t>
        </is>
      </c>
      <c r="I12" s="68" t="inlineStr">
        <is>
          <t>Open</t>
        </is>
      </c>
      <c r="J12" s="65" t="inlineStr">
        <is>
          <t>Backend Dev</t>
        </is>
      </c>
      <c r="K12" s="69" t="inlineStr">
        <is>
          <t>10/06/2026</t>
        </is>
      </c>
      <c r="L12" s="65" t="inlineStr"/>
      <c r="M12" s="65" t="inlineStr"/>
      <c r="N12" s="65" t="inlineStr"/>
      <c r="O12" s="70">
        <f>IF(AND(K12&lt;&gt;"",M12&lt;&gt;""),M12-K12,"")</f>
        <v/>
      </c>
      <c r="P12" s="65" t="inlineStr">
        <is>
          <t>Every transient error costs ~2x and jumps to a costlier model -&gt; error storms multiply the AI bill exactly when things are already failing.</t>
        </is>
      </c>
    </row>
    <row r="13" ht="90" customHeight="1" s="52">
      <c r="A13" s="63" t="inlineStr">
        <is>
          <t>BE-010</t>
        </is>
      </c>
      <c r="B13" s="64" t="inlineStr">
        <is>
          <t>Development</t>
        </is>
      </c>
      <c r="C13" s="65" t="inlineStr">
        <is>
          <t>AI / Reliability</t>
        </is>
      </c>
      <c r="D13" s="66" t="inlineStr">
        <is>
          <t>search_web tool blocks the event loop (sync DDGS, no timeout)</t>
        </is>
      </c>
      <c r="E13" s="65" t="inlineStr">
        <is>
          <t>agent.py search_web() calls DuckDuckGo (DDGS().text) synchronously inside an async tool with no timeout.</t>
        </is>
      </c>
      <c r="F13" s="65" t="inlineStr">
        <is>
          <t>Blocking network call on the async event loop; external dependency with no SLA.</t>
        </is>
      </c>
      <c r="G13" s="65" t="inlineStr">
        <is>
          <t>Move to an async/threadpool call with a hard timeout; cache results; degrade gracefully on failure.</t>
        </is>
      </c>
      <c r="H13" s="67" t="inlineStr">
        <is>
          <t>High</t>
        </is>
      </c>
      <c r="I13" s="68" t="inlineStr">
        <is>
          <t>Open</t>
        </is>
      </c>
      <c r="J13" s="65" t="inlineStr">
        <is>
          <t>Backend Dev</t>
        </is>
      </c>
      <c r="K13" s="69" t="inlineStr">
        <is>
          <t>10/06/2026</t>
        </is>
      </c>
      <c r="L13" s="65" t="inlineStr"/>
      <c r="M13" s="65" t="inlineStr"/>
      <c r="N13" s="65" t="inlineStr"/>
      <c r="O13" s="70">
        <f>IF(AND(K13&lt;&gt;"",M13&lt;&gt;""),M13-K13,"")</f>
        <v/>
      </c>
      <c r="P13" s="65" t="inlineStr">
        <is>
          <t>One slow DuckDuckGo response stalls the worker for all users on it; DDG rate-limiting silently breaks 'why' pricing advice.</t>
        </is>
      </c>
    </row>
    <row r="14" ht="90" customHeight="1" s="52">
      <c r="A14" s="63" t="inlineStr">
        <is>
          <t>BE-011</t>
        </is>
      </c>
      <c r="B14" s="64" t="inlineStr">
        <is>
          <t>Development</t>
        </is>
      </c>
      <c r="C14" s="65" t="inlineStr">
        <is>
          <t>AI / Authorization</t>
        </is>
      </c>
      <c r="D14" s="66" t="inlineStr">
        <is>
          <t>Destructive AI actions confirmed only by prompt, not by code</t>
        </is>
      </c>
      <c r="E14" s="65" t="inlineStr">
        <is>
          <t>cancel_booking, update_room_price, create_promo_code rely on a SYSTEM_PROMPT instruction to 'ask for confirmation'. Nothing in code requires it; a model slip or injected text can execute them.</t>
        </is>
      </c>
      <c r="F14" s="65" t="inlineStr">
        <is>
          <t>Confirmation is a prompt convention, not an enforced gate; tools mutate on first call.</t>
        </is>
      </c>
      <c r="G14" s="65" t="inlineStr">
        <is>
          <t>Require an explicit confirmation token/2-step flow in code before any mutating tool runs; gate price/promo behind OWNER/MANAGER.</t>
        </is>
      </c>
      <c r="H14" s="71" t="inlineStr">
        <is>
          <t>Critical</t>
        </is>
      </c>
      <c r="I14" s="68" t="inlineStr">
        <is>
          <t>Open</t>
        </is>
      </c>
      <c r="J14" s="65" t="inlineStr">
        <is>
          <t>Backend Dev</t>
        </is>
      </c>
      <c r="K14" s="69" t="inlineStr">
        <is>
          <t>10/06/2026</t>
        </is>
      </c>
      <c r="L14" s="65" t="inlineStr"/>
      <c r="M14" s="65" t="inlineStr"/>
      <c r="N14" s="65" t="inlineStr"/>
      <c r="O14" s="70">
        <f>IF(AND(K14&lt;&gt;"",M14&lt;&gt;""),M14-K14,"")</f>
        <v/>
      </c>
      <c r="P14" s="65" t="inlineStr">
        <is>
          <t>An AI mistake or prompt injection can cancel a real booking or zero out a room rate -&gt; direct revenue loss and guest impact.</t>
        </is>
      </c>
    </row>
    <row r="15" ht="90" customHeight="1" s="52">
      <c r="A15" s="63" t="inlineStr">
        <is>
          <t>BE-012</t>
        </is>
      </c>
      <c r="B15" s="64" t="inlineStr">
        <is>
          <t>Development</t>
        </is>
      </c>
      <c r="C15" s="65" t="inlineStr">
        <is>
          <t>AI / Security</t>
        </is>
      </c>
      <c r="D15" s="66" t="inlineStr">
        <is>
          <t>Prompt injection via guest messages and stored special_requests</t>
        </is>
      </c>
      <c r="E15" s="65" t="inlineStr">
        <is>
          <t>Guest-controlled chat text reaches a tool-enabled LLM; chain guest_history (incl. special_requests) is injected into the system prompt (guest_agent.py), enabling second-order injection.</t>
        </is>
      </c>
      <c r="F15" s="65" t="inlineStr">
        <is>
          <t>Untrusted text concatenated into prompts that drive tools.</t>
        </is>
      </c>
      <c r="G15" s="65" t="inlineStr">
        <is>
          <t>Treat all guest/stored text as untrusted; strip/escape before prompt insertion; keep tools read-only on the public bot; add injection tests.</t>
        </is>
      </c>
      <c r="H15" s="67" t="inlineStr">
        <is>
          <t>High</t>
        </is>
      </c>
      <c r="I15" s="68" t="inlineStr">
        <is>
          <t>Open</t>
        </is>
      </c>
      <c r="J15" s="65" t="inlineStr">
        <is>
          <t>Backend Dev</t>
        </is>
      </c>
      <c r="K15" s="69" t="inlineStr">
        <is>
          <t>10/06/2026</t>
        </is>
      </c>
      <c r="L15" s="65" t="inlineStr"/>
      <c r="M15" s="65" t="inlineStr"/>
      <c r="N15" s="65" t="inlineStr"/>
      <c r="O15" s="70">
        <f>IF(AND(K15&lt;&gt;"",M15&lt;&gt;""),M15-K15,"")</f>
        <v/>
      </c>
      <c r="P15" s="65" t="inlineStr">
        <is>
          <t>A crafted message can make the concierge misquote prices/policies or leak data, damaging trust and giving wrong commitments to customers.</t>
        </is>
      </c>
    </row>
    <row r="16" ht="90" customHeight="1" s="52">
      <c r="A16" s="63" t="inlineStr">
        <is>
          <t>BE-013</t>
        </is>
      </c>
      <c r="B16" s="64" t="inlineStr">
        <is>
          <t>Development</t>
        </is>
      </c>
      <c r="C16" s="65" t="inlineStr">
        <is>
          <t>AI / Bookings</t>
        </is>
      </c>
      <c r="D16" s="66" t="inlineStr">
        <is>
          <t>AI quick-booking has no availability / double-booking guard</t>
        </is>
      </c>
      <c r="E16" s="65" t="inlineStr">
        <is>
          <t>agent.py create_quick_booking writes a Booking without checking inventory or overlap; check_availability_matrix is a separate optional tool the model may skip.</t>
        </is>
      </c>
      <c r="F16" s="65" t="inlineStr">
        <is>
          <t>Booking creation tool does not re-validate availability server-side.</t>
        </is>
      </c>
      <c r="G16" s="65" t="inlineStr">
        <is>
          <t>Re-check availability atomically inside create_quick_booking; reject on conflict.</t>
        </is>
      </c>
      <c r="H16" s="67" t="inlineStr">
        <is>
          <t>High</t>
        </is>
      </c>
      <c r="I16" s="68" t="inlineStr">
        <is>
          <t>Open</t>
        </is>
      </c>
      <c r="J16" s="65" t="inlineStr">
        <is>
          <t>Backend Dev</t>
        </is>
      </c>
      <c r="K16" s="69" t="inlineStr">
        <is>
          <t>10/06/2026</t>
        </is>
      </c>
      <c r="L16" s="65" t="inlineStr"/>
      <c r="M16" s="65" t="inlineStr"/>
      <c r="N16" s="65" t="inlineStr"/>
      <c r="O16" s="70">
        <f>IF(AND(K16&lt;&gt;"",M16&lt;&gt;""),M16-K16,"")</f>
        <v/>
      </c>
      <c r="P16" s="65" t="inlineStr">
        <is>
          <t>AI can overbook a sold-out room -&gt; walk-the-guest situations, compensation cost, reputation damage.</t>
        </is>
      </c>
    </row>
    <row r="17" ht="90" customHeight="1" s="52">
      <c r="A17" s="63" t="inlineStr">
        <is>
          <t>BE-014</t>
        </is>
      </c>
      <c r="B17" s="64" t="inlineStr">
        <is>
          <t>Development</t>
        </is>
      </c>
      <c r="C17" s="65" t="inlineStr">
        <is>
          <t>Performance</t>
        </is>
      </c>
      <c r="D17" s="66" t="inlineStr">
        <is>
          <t>Availability checks do O(bookings x rooms) Python loops on an unbounded fetch</t>
        </is>
      </c>
      <c r="E17" s="65" t="inlineStr">
        <is>
          <t>check_availability (guest_agent.py) and check_availability_matrix (agent.py) load all overlapping bookings and nest-loop over rooms in Python.</t>
        </is>
      </c>
      <c r="F17" s="65" t="inlineStr">
        <is>
          <t>In-memory aggregation instead of a single GROUP BY; no pagination on the booking fetch.</t>
        </is>
      </c>
      <c r="G17" s="65" t="inlineStr">
        <is>
          <t>Aggregate booked counts in SQL (GROUP BY room_type_id); add composite index on (hotel_id, status, dates).</t>
        </is>
      </c>
      <c r="H17" s="72" t="inlineStr">
        <is>
          <t>Medium</t>
        </is>
      </c>
      <c r="I17" s="68" t="inlineStr">
        <is>
          <t>Open</t>
        </is>
      </c>
      <c r="J17" s="65" t="inlineStr">
        <is>
          <t>Backend Dev</t>
        </is>
      </c>
      <c r="K17" s="69" t="inlineStr">
        <is>
          <t>10/06/2026</t>
        </is>
      </c>
      <c r="L17" s="65" t="inlineStr"/>
      <c r="M17" s="65" t="inlineStr"/>
      <c r="N17" s="65" t="inlineStr"/>
      <c r="O17" s="70">
        <f>IF(AND(K17&lt;&gt;"",M17&lt;&gt;""),M17-K17,"")</f>
        <v/>
      </c>
      <c r="P17" s="65" t="inlineStr">
        <is>
          <t>On busy/large hotels availability gets slow and CPU-heavy, slowing the booking funnel and every concurrent chat.</t>
        </is>
      </c>
    </row>
    <row r="18" ht="90" customHeight="1" s="52">
      <c r="A18" s="63" t="inlineStr">
        <is>
          <t>BE-015</t>
        </is>
      </c>
      <c r="B18" s="64" t="inlineStr">
        <is>
          <t>Development</t>
        </is>
      </c>
      <c r="C18" s="65" t="inlineStr">
        <is>
          <t>AI / Accuracy</t>
        </is>
      </c>
      <c r="D18" s="66" t="inlineStr">
        <is>
          <t>LLM hallucination of price, policy, or room facts</t>
        </is>
      </c>
      <c r="E18" s="65" t="inlineStr">
        <is>
          <t>The concierge/assistant generate free text; there is no hard guarantee the quoted price or policy matches the DB even though tools exist.</t>
        </is>
      </c>
      <c r="F18" s="65" t="inlineStr">
        <is>
          <t>Generative model output is not constrained to tool data.</t>
        </is>
      </c>
      <c r="G18" s="65" t="inlineStr">
        <is>
          <t>Post-validate any price/availability the model states against the DB before sending; show authoritative price at checkout (already re-validated).</t>
        </is>
      </c>
      <c r="H18" s="67" t="inlineStr">
        <is>
          <t>High</t>
        </is>
      </c>
      <c r="I18" s="68" t="inlineStr">
        <is>
          <t>Open</t>
        </is>
      </c>
      <c r="J18" s="65" t="inlineStr">
        <is>
          <t>Backend Dev</t>
        </is>
      </c>
      <c r="K18" s="69" t="inlineStr">
        <is>
          <t>10/06/2026</t>
        </is>
      </c>
      <c r="L18" s="65" t="inlineStr"/>
      <c r="M18" s="65" t="inlineStr"/>
      <c r="N18" s="65" t="inlineStr"/>
      <c r="O18" s="70">
        <f>IF(AND(K18&lt;&gt;"",M18&lt;&gt;""),M18-K18,"")</f>
        <v/>
      </c>
      <c r="P18" s="65" t="inlineStr">
        <is>
          <t>A wrong AI-quoted rate can be argued as a commitment by the guest -&gt; disputes, honouring loss, or lost bookings.</t>
        </is>
      </c>
    </row>
    <row r="19" ht="90" customHeight="1" s="52">
      <c r="A19" s="63" t="inlineStr">
        <is>
          <t>BE-016</t>
        </is>
      </c>
      <c r="B19" s="64" t="inlineStr">
        <is>
          <t>Development</t>
        </is>
      </c>
      <c r="C19" s="65" t="inlineStr">
        <is>
          <t>AI / UX</t>
        </is>
      </c>
      <c r="D19" s="66" t="inlineStr">
        <is>
          <t>Chart rendering depends on the model echoing [CHART_DATA] verbatim</t>
        </is>
      </c>
      <c r="E19" s="65" t="inlineStr">
        <is>
          <t>agent.py instructs the model to return [CHART_DATA]...[/CHART_DATA] JSON untouched; smaller models often reword or drop it.</t>
        </is>
      </c>
      <c r="F19" s="65" t="inlineStr">
        <is>
          <t>Structured output delegated to model obedience instead of code.</t>
        </is>
      </c>
      <c r="G19" s="65" t="inlineStr">
        <is>
          <t>Have the tool return structured data through a separate channel/field the UI reads directly, not via model echo.</t>
        </is>
      </c>
      <c r="H19" s="73" t="inlineStr">
        <is>
          <t>Low</t>
        </is>
      </c>
      <c r="I19" s="68" t="inlineStr">
        <is>
          <t>Open</t>
        </is>
      </c>
      <c r="J19" s="65" t="inlineStr">
        <is>
          <t>Backend Dev / Frontend Dev</t>
        </is>
      </c>
      <c r="K19" s="69" t="inlineStr">
        <is>
          <t>10/06/2026</t>
        </is>
      </c>
      <c r="L19" s="65" t="inlineStr"/>
      <c r="M19" s="65" t="inlineStr"/>
      <c r="N19" s="65" t="inlineStr"/>
      <c r="O19" s="70">
        <f>IF(AND(K19&lt;&gt;"",M19&lt;&gt;""),M19-K19,"")</f>
        <v/>
      </c>
      <c r="P19" s="65" t="inlineStr">
        <is>
          <t>Dashboard charts intermittently render blank/garbled -&gt; hoteliers distrust the analytics feature.</t>
        </is>
      </c>
    </row>
    <row r="20" ht="90" customHeight="1" s="52">
      <c r="A20" s="63" t="inlineStr">
        <is>
          <t>BE-017</t>
        </is>
      </c>
      <c r="B20" s="64" t="inlineStr">
        <is>
          <t>Development</t>
        </is>
      </c>
      <c r="C20" s="65" t="inlineStr">
        <is>
          <t>AI / Config</t>
        </is>
      </c>
      <c r="D20" s="66" t="inlineStr">
        <is>
          <t>Provider auto-detection by API-key prefix is fragile</t>
        </is>
      </c>
      <c r="E20" s="65" t="inlineStr">
        <is>
          <t>agent/guest_agent/global_agent guess the provider from key prefixes (gsk_/sk-/AIza). A custom gateway or rotated key format breaks selection.</t>
        </is>
      </c>
      <c r="F20" s="65" t="inlineStr">
        <is>
          <t>Heuristic provider detection instead of explicit config.</t>
        </is>
      </c>
      <c r="G20" s="65" t="inlineStr">
        <is>
          <t>Require explicit ai_provider; treat prefix detection only as a last-resort hint with clear logging.</t>
        </is>
      </c>
      <c r="H20" s="72" t="inlineStr">
        <is>
          <t>Medium</t>
        </is>
      </c>
      <c r="I20" s="68" t="inlineStr">
        <is>
          <t>Open</t>
        </is>
      </c>
      <c r="J20" s="65" t="inlineStr">
        <is>
          <t>Backend Dev</t>
        </is>
      </c>
      <c r="K20" s="69" t="inlineStr">
        <is>
          <t>10/06/2026</t>
        </is>
      </c>
      <c r="L20" s="65" t="inlineStr"/>
      <c r="M20" s="65" t="inlineStr"/>
      <c r="N20" s="65" t="inlineStr"/>
      <c r="O20" s="70">
        <f>IF(AND(K20&lt;&gt;"",M20&lt;&gt;""),M20-K20,"")</f>
        <v/>
      </c>
      <c r="P20" s="65" t="inlineStr">
        <is>
          <t>A hotel's AI silently routes to the wrong API or fails entirely after a key change -&gt; support tickets and downtime.</t>
        </is>
      </c>
    </row>
    <row r="21" ht="90" customHeight="1" s="52">
      <c r="A21" s="63" t="inlineStr">
        <is>
          <t>BE-018</t>
        </is>
      </c>
      <c r="B21" s="64" t="inlineStr">
        <is>
          <t>Development</t>
        </is>
      </c>
      <c r="C21" s="65" t="inlineStr">
        <is>
          <t>AI / Cost</t>
        </is>
      </c>
      <c r="D21" s="66" t="inlineStr">
        <is>
          <t>Hotelier assistant defaults to a 70B model</t>
        </is>
      </c>
      <c r="E21" s="65" t="inlineStr">
        <is>
          <t>agent.py target_model default is llama-3.3-70b-versatile; the cost rule says default to the cheap model and reserve large models for analytics.</t>
        </is>
      </c>
      <c r="F21" s="65" t="inlineStr">
        <is>
          <t>Expensive default not aligned with cost policy for general assistant traffic.</t>
        </is>
      </c>
      <c r="G21" s="65" t="inlineStr">
        <is>
          <t>Default the general assistant to the cheap 8B model; route only heavy analytics to the large model.</t>
        </is>
      </c>
      <c r="H21" s="72" t="inlineStr">
        <is>
          <t>Medium</t>
        </is>
      </c>
      <c r="I21" s="68" t="inlineStr">
        <is>
          <t>Open</t>
        </is>
      </c>
      <c r="J21" s="65" t="inlineStr">
        <is>
          <t>Backend Dev</t>
        </is>
      </c>
      <c r="K21" s="69" t="inlineStr">
        <is>
          <t>10/06/2026</t>
        </is>
      </c>
      <c r="L21" s="65" t="inlineStr"/>
      <c r="M21" s="65" t="inlineStr"/>
      <c r="N21" s="65" t="inlineStr"/>
      <c r="O21" s="70">
        <f>IF(AND(K21&lt;&gt;"",M21&lt;&gt;""),M21-K21,"")</f>
        <v/>
      </c>
      <c r="P21" s="65" t="inlineStr">
        <is>
          <t>Every hotelier query costs ~10x more than necessary, inflating the AI bill linearly with adoption.</t>
        </is>
      </c>
    </row>
    <row r="22" ht="90" customHeight="1" s="52">
      <c r="A22" s="63" t="inlineStr">
        <is>
          <t>BE-019</t>
        </is>
      </c>
      <c r="B22" s="64" t="inlineStr">
        <is>
          <t>Development</t>
        </is>
      </c>
      <c r="C22" s="65" t="inlineStr">
        <is>
          <t>Privacy / Logging</t>
        </is>
      </c>
      <c r="D22" s="66" t="inlineStr">
        <is>
          <t>PII (email / supabase_id) logged at INFO in auth</t>
        </is>
      </c>
      <c r="E22" s="65" t="inlineStr">
        <is>
          <t>deps.py logs email and supabase_id at INFO on several auth branches (e.g. lines 84, 91, 150); policy is DEBUG-only / hashed.</t>
        </is>
      </c>
      <c r="F22" s="65" t="inlineStr">
        <is>
          <t>Verbose INFO logging of identifiers in the hot auth path.</t>
        </is>
      </c>
      <c r="G22" s="65" t="inlineStr">
        <is>
          <t>Drop to DEBUG or hash; ensure LOG_LEVEL=WARNING in prod.</t>
        </is>
      </c>
      <c r="H22" s="72" t="inlineStr">
        <is>
          <t>Medium</t>
        </is>
      </c>
      <c r="I22" s="68" t="inlineStr">
        <is>
          <t>Open</t>
        </is>
      </c>
      <c r="J22" s="65" t="inlineStr">
        <is>
          <t>Backend Dev</t>
        </is>
      </c>
      <c r="K22" s="69" t="inlineStr">
        <is>
          <t>10/06/2026</t>
        </is>
      </c>
      <c r="L22" s="65" t="inlineStr"/>
      <c r="M22" s="65" t="inlineStr"/>
      <c r="N22" s="65" t="inlineStr"/>
      <c r="O22" s="70">
        <f>IF(AND(K22&lt;&gt;"",M22&lt;&gt;""),M22-K22,"")</f>
        <v/>
      </c>
      <c r="P22" s="65" t="inlineStr">
        <is>
          <t>PII in logs is a privacy/compliance exposure and inflates log egress cost at scale.</t>
        </is>
      </c>
    </row>
    <row r="23" ht="90" customHeight="1" s="52">
      <c r="A23" s="63" t="inlineStr">
        <is>
          <t>BE-020</t>
        </is>
      </c>
      <c r="B23" s="64" t="inlineStr">
        <is>
          <t>Development</t>
        </is>
      </c>
      <c r="C23" s="65" t="inlineStr">
        <is>
          <t>Reliability / SSE</t>
        </is>
      </c>
      <c r="D23" s="66" t="inlineStr">
        <is>
          <t>Streaming chat has no max lifetime or disconnect cap</t>
        </is>
      </c>
      <c r="E23" s="65" t="inlineStr">
        <is>
          <t>stream_guest_ai (chat.py) streams agent events with no overall timeout and holds the DB session for the whole stream; only tool_call_limit bounds it.</t>
        </is>
      </c>
      <c r="F23" s="65" t="inlineStr">
        <is>
          <t>Missing max-duration and client-disconnect checks on the SSE generator.</t>
        </is>
      </c>
      <c r="G23" s="65" t="inlineStr">
        <is>
          <t>Add a hard max stream lifetime and disconnect detection; release the DB session before streaming.</t>
        </is>
      </c>
      <c r="H23" s="72" t="inlineStr">
        <is>
          <t>Medium</t>
        </is>
      </c>
      <c r="I23" s="68" t="inlineStr">
        <is>
          <t>Open</t>
        </is>
      </c>
      <c r="J23" s="65" t="inlineStr">
        <is>
          <t>Backend Dev</t>
        </is>
      </c>
      <c r="K23" s="69" t="inlineStr">
        <is>
          <t>10/06/2026</t>
        </is>
      </c>
      <c r="L23" s="65" t="inlineStr"/>
      <c r="M23" s="65" t="inlineStr"/>
      <c r="N23" s="65" t="inlineStr"/>
      <c r="O23" s="70">
        <f>IF(AND(K23&lt;&gt;"",M23&lt;&gt;""),M23-K23,"")</f>
        <v/>
      </c>
      <c r="P23" s="65" t="inlineStr">
        <is>
          <t>Idle/abandoned streams pin worker + DB resources, lowering real concurrency and inviting slow-loris-style abuse.</t>
        </is>
      </c>
    </row>
    <row r="24" ht="90" customHeight="1" s="52">
      <c r="A24" s="63" t="inlineStr">
        <is>
          <t>BE-021</t>
        </is>
      </c>
      <c r="B24" s="64" t="inlineStr">
        <is>
          <t>Development</t>
        </is>
      </c>
      <c r="C24" s="65" t="inlineStr">
        <is>
          <t>Observability</t>
        </is>
      </c>
      <c r="D24" s="66" t="inlineStr">
        <is>
          <t>AI usage accounting is silent best-effort</t>
        </is>
      </c>
      <c r="E24" s="65" t="inlineStr">
        <is>
          <t>record_ai_usage swallows all errors and returns 0 when metrics/Redis are missing; failed runs may record nothing.</t>
        </is>
      </c>
      <c r="F24" s="65" t="inlineStr">
        <is>
          <t>Telemetry intentionally never raises, but there is no fallback counter or alert.</t>
        </is>
      </c>
      <c r="G24" s="65" t="inlineStr">
        <is>
          <t>Emit a metric on accounting failures; persist a durable daily aggregate beyond Redis.</t>
        </is>
      </c>
      <c r="H24" s="73" t="inlineStr">
        <is>
          <t>Low</t>
        </is>
      </c>
      <c r="I24" s="68" t="inlineStr">
        <is>
          <t>Open</t>
        </is>
      </c>
      <c r="J24" s="65" t="inlineStr">
        <is>
          <t>Backend Dev</t>
        </is>
      </c>
      <c r="K24" s="69" t="inlineStr">
        <is>
          <t>10/06/2026</t>
        </is>
      </c>
      <c r="L24" s="65" t="inlineStr"/>
      <c r="M24" s="65" t="inlineStr"/>
      <c r="N24" s="65" t="inlineStr"/>
      <c r="O24" s="70">
        <f>IF(AND(K24&lt;&gt;"",M24&lt;&gt;""),M24-K24,"")</f>
        <v/>
      </c>
      <c r="P24" s="65" t="inlineStr">
        <is>
          <t>Cost dashboards can under-report, hiding an overspend until the invoice arrives.</t>
        </is>
      </c>
    </row>
    <row r="25" ht="90" customHeight="1" s="52">
      <c r="A25" s="63" t="inlineStr">
        <is>
          <t>BE-022</t>
        </is>
      </c>
      <c r="B25" s="64" t="inlineStr">
        <is>
          <t>Development</t>
        </is>
      </c>
      <c r="C25" s="65" t="inlineStr">
        <is>
          <t>Error Handling</t>
        </is>
      </c>
      <c r="D25" s="66" t="inlineStr">
        <is>
          <t>Raw exception strings returned to clients on agent error</t>
        </is>
      </c>
      <c r="E25" s="65" t="inlineStr">
        <is>
          <t>agent.py endpoint returns HTTP 500 detail=f'AI Agent Error: {str(e)}', leaking internal error text to the caller.</t>
        </is>
      </c>
      <c r="F25" s="65" t="inlineStr">
        <is>
          <t>Generic except surfaces internal detail in the response body.</t>
        </is>
      </c>
      <c r="G25" s="65" t="inlineStr">
        <is>
          <t>Return a generic message to the client; log the detail server-side only.</t>
        </is>
      </c>
      <c r="H25" s="72" t="inlineStr">
        <is>
          <t>Medium</t>
        </is>
      </c>
      <c r="I25" s="68" t="inlineStr">
        <is>
          <t>Open</t>
        </is>
      </c>
      <c r="J25" s="65" t="inlineStr">
        <is>
          <t>Backend Dev</t>
        </is>
      </c>
      <c r="K25" s="69" t="inlineStr">
        <is>
          <t>10/06/2026</t>
        </is>
      </c>
      <c r="L25" s="65" t="inlineStr"/>
      <c r="M25" s="65" t="inlineStr"/>
      <c r="N25" s="65" t="inlineStr"/>
      <c r="O25" s="70">
        <f>IF(AND(K25&lt;&gt;"",M25&lt;&gt;""),M25-K25,"")</f>
        <v/>
      </c>
      <c r="P25" s="65" t="inlineStr">
        <is>
          <t>Internal stack/library detail leaks to users (and the broken-logger error is shown verbatim today).</t>
        </is>
      </c>
    </row>
    <row r="26" ht="90" customHeight="1" s="52">
      <c r="A26" s="63" t="inlineStr">
        <is>
          <t>BE-023</t>
        </is>
      </c>
      <c r="B26" s="64" t="inlineStr">
        <is>
          <t>Post-Development</t>
        </is>
      </c>
      <c r="C26" s="65" t="inlineStr">
        <is>
          <t>Scaling / Outage</t>
        </is>
      </c>
      <c r="D26" s="66" t="inlineStr">
        <is>
          <t>100 concurrent users on one page -&gt; DB connection exhaustion</t>
        </is>
      </c>
      <c r="E26" s="65" t="inlineStr">
        <is>
          <t>Per SCALE_TUNING.md the #1 crash risk is Postgres connections; default 10/worker. A burst of page loads (search + availability + chat warm) can saturate the pool.</t>
        </is>
      </c>
      <c r="F26" s="65" t="inlineStr">
        <is>
          <t>Connection budget is small and AI/streaming requests hold connections longer than assumed.</t>
        </is>
      </c>
      <c r="G26" s="65" t="inlineStr">
        <is>
          <t>Right-size pool/concurrency under the Supabase limit; release sessions early; add a CDN/queue in front of public reads.</t>
        </is>
      </c>
      <c r="H26" s="71" t="inlineStr">
        <is>
          <t>Critical</t>
        </is>
      </c>
      <c r="I26" s="68" t="inlineStr">
        <is>
          <t>Open</t>
        </is>
      </c>
      <c r="J26" s="65" t="inlineStr">
        <is>
          <t>DevOps / Backend Dev</t>
        </is>
      </c>
      <c r="K26" s="69" t="inlineStr">
        <is>
          <t>10/06/2026</t>
        </is>
      </c>
      <c r="L26" s="65" t="inlineStr"/>
      <c r="M26" s="65" t="inlineStr"/>
      <c r="N26" s="65" t="inlineStr"/>
      <c r="O26" s="70">
        <f>IF(AND(K26&lt;&gt;"",M26&lt;&gt;""),M26-K26,"")</f>
        <v/>
      </c>
      <c r="P26" s="65" t="inlineStr">
        <is>
          <t>A single popular hotel's traffic spike can 500 the whole platform for all hotels until the pool drains.</t>
        </is>
      </c>
    </row>
    <row r="27" ht="90" customHeight="1" s="52">
      <c r="A27" s="63" t="inlineStr">
        <is>
          <t>BE-024</t>
        </is>
      </c>
      <c r="B27" s="64" t="inlineStr">
        <is>
          <t>Post-Development</t>
        </is>
      </c>
      <c r="C27" s="65" t="inlineStr">
        <is>
          <t>Abuse / Cost</t>
        </is>
      </c>
      <c r="D27" s="66" t="inlineStr">
        <is>
          <t>Public AI chat abuse drives the LLM bill</t>
        </is>
      </c>
      <c r="E27" s="65" t="inlineStr">
        <is>
          <t>chat/guest is anonymous; the 5/min IP limit is spoofable (XFF) and the only real cap is 1000 LLM calls/hotel/day, which fails open without Redis.</t>
        </is>
      </c>
      <c r="F27" s="65" t="inlineStr">
        <is>
          <t>Spoofable IP limit + fail-open per-hotel quota on an unauthenticated, cost-bearing endpoint.</t>
        </is>
      </c>
      <c r="G27" s="65" t="inlineStr">
        <is>
          <t>Add a non-spoofable signal (signed widget token / captcha), fail-closed quota, and a global platform budget breaker.</t>
        </is>
      </c>
      <c r="H27" s="67" t="inlineStr">
        <is>
          <t>High</t>
        </is>
      </c>
      <c r="I27" s="68" t="inlineStr">
        <is>
          <t>Open</t>
        </is>
      </c>
      <c r="J27" s="65" t="inlineStr">
        <is>
          <t>Backend Dev</t>
        </is>
      </c>
      <c r="K27" s="69" t="inlineStr">
        <is>
          <t>10/06/2026</t>
        </is>
      </c>
      <c r="L27" s="65" t="inlineStr"/>
      <c r="M27" s="65" t="inlineStr"/>
      <c r="N27" s="65" t="inlineStr"/>
      <c r="O27" s="70">
        <f>IF(AND(K27&lt;&gt;"",M27&lt;&gt;""),M27-K27,"")</f>
        <v/>
      </c>
      <c r="P27" s="65" t="inlineStr">
        <is>
          <t>A bot can burn up to ~1000 calls/day/hotel (more if Redis is down) -&gt; a targeted or accidental spike spikes the cloud/LLM invoice.</t>
        </is>
      </c>
    </row>
    <row r="28" ht="90" customHeight="1" s="52">
      <c r="A28" s="63" t="inlineStr">
        <is>
          <t>BE-025</t>
        </is>
      </c>
      <c r="B28" s="64" t="inlineStr">
        <is>
          <t>Post-Development</t>
        </is>
      </c>
      <c r="C28" s="65" t="inlineStr">
        <is>
          <t>Abuse / DoS</t>
        </is>
      </c>
      <c r="D28" s="66" t="inlineStr">
        <is>
          <t>Authenticated endpoints have no rate limit; token-flood forces JWT verification</t>
        </is>
      </c>
      <c r="E28" s="65" t="inlineStr">
        <is>
          <t>Most authenticated routes have no @limiter.limit; invalid Bearer tokens are uncacheable, so each spam request runs verify_supabase_token (CPU + possible Supabase call).</t>
        </is>
      </c>
      <c r="F28" s="65" t="inlineStr">
        <is>
          <t>Rate limiting applied selectively; auth verification cost paid per request on garbage tokens.</t>
        </is>
      </c>
      <c r="G28" s="65" t="inlineStr">
        <is>
          <t>Add a baseline IP+token limit on authenticated routes; short-cache negative verifications; alert on auth-error spikes.</t>
        </is>
      </c>
      <c r="H28" s="67" t="inlineStr">
        <is>
          <t>High</t>
        </is>
      </c>
      <c r="I28" s="68" t="inlineStr">
        <is>
          <t>Open</t>
        </is>
      </c>
      <c r="J28" s="65" t="inlineStr">
        <is>
          <t>Backend Dev / DevOps</t>
        </is>
      </c>
      <c r="K28" s="69" t="inlineStr">
        <is>
          <t>10/06/2026</t>
        </is>
      </c>
      <c r="L28" s="65" t="inlineStr"/>
      <c r="M28" s="65" t="inlineStr"/>
      <c r="N28" s="65" t="inlineStr"/>
      <c r="O28" s="70">
        <f>IF(AND(K28&lt;&gt;"",M28&lt;&gt;""),M28-K28,"")</f>
        <v/>
      </c>
      <c r="P28" s="65" t="inlineStr">
        <is>
          <t>A cheap token-flood raises CPU and Supabase auth load, degrading latency for real users.</t>
        </is>
      </c>
    </row>
    <row r="29" ht="90" customHeight="1" s="52">
      <c r="A29" s="63" t="inlineStr">
        <is>
          <t>BE-026</t>
        </is>
      </c>
      <c r="B29" s="64" t="inlineStr">
        <is>
          <t>Post-Development</t>
        </is>
      </c>
      <c r="C29" s="65" t="inlineStr">
        <is>
          <t>Reliability / SPOF</t>
        </is>
      </c>
      <c r="D29" s="66" t="inlineStr">
        <is>
          <t>Redis is a single point of failure for many controls</t>
        </is>
      </c>
      <c r="E29" s="65" t="inlineStr">
        <is>
          <t>Payment idempotency, rate limits, AI quota, auth cache, slug cache and analytics caches all depend on a single Redis instance (SCALE_TUNING notes: make HA before relying on it for payment idempotency).</t>
        </is>
      </c>
      <c r="F29" s="65" t="inlineStr">
        <is>
          <t>No Redis HA; several controls fail open on its loss.</t>
        </is>
      </c>
      <c r="G29" s="65" t="inlineStr">
        <is>
          <t>Move to managed HA Redis; define explicit degraded-mode behaviour per control.</t>
        </is>
      </c>
      <c r="H29" s="67" t="inlineStr">
        <is>
          <t>High</t>
        </is>
      </c>
      <c r="I29" s="68" t="inlineStr">
        <is>
          <t>Open</t>
        </is>
      </c>
      <c r="J29" s="65" t="inlineStr">
        <is>
          <t>DevOps</t>
        </is>
      </c>
      <c r="K29" s="69" t="inlineStr">
        <is>
          <t>10/06/2026</t>
        </is>
      </c>
      <c r="L29" s="65" t="inlineStr"/>
      <c r="M29" s="65" t="inlineStr"/>
      <c r="N29" s="65" t="inlineStr"/>
      <c r="O29" s="70">
        <f>IF(AND(K29&lt;&gt;"",M29&lt;&gt;""),M29-K29,"")</f>
        <v/>
      </c>
      <c r="P29" s="65" t="inlineStr">
        <is>
          <t>A Redis outage simultaneously weakens abuse limits, AI quota, and payment idempotency (double-charge risk).</t>
        </is>
      </c>
    </row>
    <row r="30" ht="90" customHeight="1" s="52">
      <c r="A30" s="63" t="inlineStr">
        <is>
          <t>BE-027</t>
        </is>
      </c>
      <c r="B30" s="64" t="inlineStr">
        <is>
          <t>Post-Development</t>
        </is>
      </c>
      <c r="C30" s="65" t="inlineStr">
        <is>
          <t>Cost Monitoring</t>
        </is>
      </c>
      <c r="D30" s="66" t="inlineStr">
        <is>
          <t>No automated alerting on per-hotel AI spend</t>
        </is>
      </c>
      <c r="E30" s="65" t="inlineStr">
        <is>
          <t>ai_tokens counters exist but must be inspected manually; no threshold alert or auto-throttle.</t>
        </is>
      </c>
      <c r="F30" s="65" t="inlineStr">
        <is>
          <t>Monitoring is manual; no automation wired to the counters.</t>
        </is>
      </c>
      <c r="G30" s="65" t="inlineStr">
        <is>
          <t>Add daily aggregation + alert + optional auto-throttle when a hotel exceeds its tier budget.</t>
        </is>
      </c>
      <c r="H30" s="72" t="inlineStr">
        <is>
          <t>Medium</t>
        </is>
      </c>
      <c r="I30" s="68" t="inlineStr">
        <is>
          <t>Open</t>
        </is>
      </c>
      <c r="J30" s="65" t="inlineStr">
        <is>
          <t>Backend Dev / DevOps</t>
        </is>
      </c>
      <c r="K30" s="69" t="inlineStr">
        <is>
          <t>10/06/2026</t>
        </is>
      </c>
      <c r="L30" s="65" t="inlineStr"/>
      <c r="M30" s="65" t="inlineStr"/>
      <c r="N30" s="65" t="inlineStr"/>
      <c r="O30" s="70">
        <f>IF(AND(K30&lt;&gt;"",M30&lt;&gt;""),M30-K30,"")</f>
        <v/>
      </c>
      <c r="P30" s="65" t="inlineStr">
        <is>
          <t>Overspend is detected days late, after the money is already spent.</t>
        </is>
      </c>
    </row>
    <row r="31" ht="90" customHeight="1" s="52">
      <c r="A31" s="63" t="inlineStr">
        <is>
          <t>BE-028</t>
        </is>
      </c>
      <c r="B31" s="64" t="inlineStr">
        <is>
          <t>Post-Development</t>
        </is>
      </c>
      <c r="C31" s="65" t="inlineStr">
        <is>
          <t>Cost / Scale</t>
        </is>
      </c>
      <c r="D31" s="66" t="inlineStr">
        <is>
          <t>Cloud bill scales with AI adoption (1-2 LLM calls per message)</t>
        </is>
      </c>
      <c r="E31" s="65" t="inlineStr">
        <is>
          <t>Each guest message is 1-2 LLM calls; each widget open also pre-warms cache; multiplied across hotels and visitors this is the dominant variable cost.</t>
        </is>
      </c>
      <c r="F31" s="65" t="inlineStr">
        <is>
          <t>Variable per-message LLM cost with limited deduplication (short cache TTL only).</t>
        </is>
      </c>
      <c r="G31" s="65" t="inlineStr">
        <is>
          <t>Increase cache hit-rate, shorten prompts, cap history (done: last 20), and set a platform-wide spend breaker.</t>
        </is>
      </c>
      <c r="H31" s="67" t="inlineStr">
        <is>
          <t>High</t>
        </is>
      </c>
      <c r="I31" s="68" t="inlineStr">
        <is>
          <t>Open</t>
        </is>
      </c>
      <c r="J31" s="65" t="inlineStr">
        <is>
          <t>Backend Dev</t>
        </is>
      </c>
      <c r="K31" s="69" t="inlineStr">
        <is>
          <t>10/06/2026</t>
        </is>
      </c>
      <c r="L31" s="65" t="inlineStr"/>
      <c r="M31" s="65" t="inlineStr"/>
      <c r="N31" s="65" t="inlineStr"/>
      <c r="O31" s="70">
        <f>IF(AND(K31&lt;&gt;"",M31&lt;&gt;""),M31-K31,"")</f>
        <v/>
      </c>
      <c r="P31" s="65" t="inlineStr">
        <is>
          <t>Marketing success (more visitors) directly increases the LLM invoice; cost grows with traffic, not revenue.</t>
        </is>
      </c>
    </row>
    <row r="32" ht="90" customHeight="1" s="52">
      <c r="A32" s="63" t="inlineStr">
        <is>
          <t>BE-029</t>
        </is>
      </c>
      <c r="B32" s="64" t="inlineStr">
        <is>
          <t>Post-Development</t>
        </is>
      </c>
      <c r="C32" s="65" t="inlineStr">
        <is>
          <t>External Dependencies</t>
        </is>
      </c>
      <c r="D32" s="66" t="inlineStr">
        <is>
          <t>Third-party failures surface as user errors or silent data loss</t>
        </is>
      </c>
      <c r="E32" s="65" t="inlineStr">
        <is>
          <t>Weather API, DuckDuckGo, Razorpay, Google Sheets sync (fire-and-forget), Meta/WhatsApp can fail; some are swallowed (sync_to_google_sheet) so data is lost silently.</t>
        </is>
      </c>
      <c r="F32" s="65" t="inlineStr">
        <is>
          <t>No circuit breakers/retries; fire-and-forget syncs drop failures.</t>
        </is>
      </c>
      <c r="G32" s="65" t="inlineStr">
        <is>
          <t>Add timeouts, retries with backoff, and a dead-letter/alert for failed syncs.</t>
        </is>
      </c>
      <c r="H32" s="72" t="inlineStr">
        <is>
          <t>Medium</t>
        </is>
      </c>
      <c r="I32" s="68" t="inlineStr">
        <is>
          <t>Open</t>
        </is>
      </c>
      <c r="J32" s="65" t="inlineStr">
        <is>
          <t>Backend Dev</t>
        </is>
      </c>
      <c r="K32" s="69" t="inlineStr">
        <is>
          <t>10/06/2026</t>
        </is>
      </c>
      <c r="L32" s="65" t="inlineStr"/>
      <c r="M32" s="65" t="inlineStr"/>
      <c r="N32" s="65" t="inlineStr"/>
      <c r="O32" s="70">
        <f>IF(AND(K32&lt;&gt;"",M32&lt;&gt;""),M32-K32,"")</f>
        <v/>
      </c>
      <c r="P32" s="65" t="inlineStr">
        <is>
          <t>Lead data can silently fail to reach the hotel's sheet; guest-facing tools error out during provider outages.</t>
        </is>
      </c>
    </row>
    <row r="33" ht="90" customHeight="1" s="52">
      <c r="A33" s="63" t="inlineStr">
        <is>
          <t>BE-030</t>
        </is>
      </c>
      <c r="B33" s="64" t="inlineStr">
        <is>
          <t>Post-Development</t>
        </is>
      </c>
      <c r="C33" s="65" t="inlineStr">
        <is>
          <t>Data Quality</t>
        </is>
      </c>
      <c r="D33" s="66" t="inlineStr">
        <is>
          <t>Competitor scraper / Chrome-extension ingestion can break or be abused</t>
        </is>
      </c>
      <c r="E33" s="65" t="inlineStr">
        <is>
          <t>Rate-shopping data comes from the Chrome extension; if it stalls or sends bad data, pricing advice is built on stale/garbage rates.</t>
        </is>
      </c>
      <c r="F33" s="65" t="inlineStr">
        <is>
          <t>External ingestion with limited validation; advice consumes it directly.</t>
        </is>
      </c>
      <c r="G33" s="65" t="inlineStr">
        <is>
          <t>Validate/timestamp ingested rates; flag stale data; bound ingestion volume.</t>
        </is>
      </c>
      <c r="H33" s="72" t="inlineStr">
        <is>
          <t>Medium</t>
        </is>
      </c>
      <c r="I33" s="68" t="inlineStr">
        <is>
          <t>Open</t>
        </is>
      </c>
      <c r="J33" s="65" t="inlineStr">
        <is>
          <t>Backend Dev</t>
        </is>
      </c>
      <c r="K33" s="69" t="inlineStr">
        <is>
          <t>10/06/2026</t>
        </is>
      </c>
      <c r="L33" s="65" t="inlineStr"/>
      <c r="M33" s="65" t="inlineStr"/>
      <c r="N33" s="65" t="inlineStr"/>
      <c r="O33" s="70">
        <f>IF(AND(K33&lt;&gt;"",M33&lt;&gt;""),M33-K33,"")</f>
        <v/>
      </c>
      <c r="P33" s="65" t="inlineStr">
        <is>
          <t>AI gives wrong pricing recommendations from stale competitor data -&gt; lost RevPAR or underpricing.</t>
        </is>
      </c>
    </row>
    <row r="34" ht="90" customHeight="1" s="52">
      <c r="A34" s="63" t="inlineStr">
        <is>
          <t>BE-031</t>
        </is>
      </c>
      <c r="B34" s="64" t="inlineStr">
        <is>
          <t>Post-Development</t>
        </is>
      </c>
      <c r="C34" s="65" t="inlineStr">
        <is>
          <t>Payments / Security</t>
        </is>
      </c>
      <c r="D34" s="66" t="inlineStr">
        <is>
          <t>Webhook signature verification must not regress (Razorpay / Meta)</t>
        </is>
      </c>
      <c r="E34" s="65" t="inlineStr">
        <is>
          <t>Payment confirmation trusts HMAC-verified webhooks; any regression in verification (or per-hotel key handling) enables spoofed 'paid' events.</t>
        </is>
      </c>
      <c r="F34" s="65" t="inlineStr">
        <is>
          <t>Security-critical path that depends on correct HMAC checks staying in place.</t>
        </is>
      </c>
      <c r="G34" s="65" t="inlineStr">
        <is>
          <t>Lock down with tests asserting signature rejection; alert on verification failures; keep strict per-hotel keys.</t>
        </is>
      </c>
      <c r="H34" s="71" t="inlineStr">
        <is>
          <t>Critical</t>
        </is>
      </c>
      <c r="I34" s="68" t="inlineStr">
        <is>
          <t>Open</t>
        </is>
      </c>
      <c r="J34" s="65" t="inlineStr">
        <is>
          <t>Backend Dev</t>
        </is>
      </c>
      <c r="K34" s="69" t="inlineStr">
        <is>
          <t>10/06/2026</t>
        </is>
      </c>
      <c r="L34" s="65" t="inlineStr"/>
      <c r="M34" s="65" t="inlineStr"/>
      <c r="N34" s="65" t="inlineStr"/>
      <c r="O34" s="70">
        <f>IF(AND(K34&lt;&gt;"",M34&lt;&gt;""),M34-K34,"")</f>
        <v/>
      </c>
      <c r="P34" s="65" t="inlineStr">
        <is>
          <t>A spoofed webhook could mark unpaid bookings as paid -&gt; direct financial loss.</t>
        </is>
      </c>
    </row>
    <row r="35" ht="90" customHeight="1" s="52">
      <c r="A35" s="63" t="inlineStr">
        <is>
          <t>BE-032</t>
        </is>
      </c>
      <c r="B35" s="64" t="inlineStr">
        <is>
          <t>Post-Development</t>
        </is>
      </c>
      <c r="C35" s="65" t="inlineStr">
        <is>
          <t>Multi-tenancy</t>
        </is>
      </c>
      <c r="D35" s="66" t="inlineStr">
        <is>
          <t>Tenant isolation in AI tools must not regress</t>
        </is>
      </c>
      <c r="E35" s="65" t="inlineStr">
        <is>
          <t>AI tools filter by user.hotel_id; dropping a filter in any tool would leak or mutate another hotel's data.</t>
        </is>
      </c>
      <c r="F35" s="65" t="inlineStr">
        <is>
          <t>Isolation enforced per-query; easy to miss when adding a new tool.</t>
        </is>
      </c>
      <c r="G35" s="65" t="inlineStr">
        <is>
          <t>Add a shared tenant-scoping helper + tests that assert cross-hotel access is blocked for every AI tool.</t>
        </is>
      </c>
      <c r="H35" s="71" t="inlineStr">
        <is>
          <t>Critical</t>
        </is>
      </c>
      <c r="I35" s="68" t="inlineStr">
        <is>
          <t>Open</t>
        </is>
      </c>
      <c r="J35" s="65" t="inlineStr">
        <is>
          <t>Backend Dev</t>
        </is>
      </c>
      <c r="K35" s="69" t="inlineStr">
        <is>
          <t>10/06/2026</t>
        </is>
      </c>
      <c r="L35" s="65" t="inlineStr"/>
      <c r="M35" s="65" t="inlineStr"/>
      <c r="N35" s="65" t="inlineStr"/>
      <c r="O35" s="70">
        <f>IF(AND(K35&lt;&gt;"",M35&lt;&gt;""),M35-K35,"")</f>
        <v/>
      </c>
      <c r="P35" s="65" t="inlineStr">
        <is>
          <t>An IDOR in an AI tool would breach the core 'one hotel never sees another' guarantee -&gt; contractual and legal exposure.</t>
        </is>
      </c>
    </row>
    <row r="36" ht="90" customHeight="1" s="52">
      <c r="A36" s="63" t="inlineStr">
        <is>
          <t>BE-033</t>
        </is>
      </c>
      <c r="B36" s="64" t="inlineStr">
        <is>
          <t>Post-Development</t>
        </is>
      </c>
      <c r="C36" s="65" t="inlineStr">
        <is>
          <t>Memory / Cost</t>
        </is>
      </c>
      <c r="D36" s="66" t="inlineStr">
        <is>
          <t>PDF / report generation spikes worker memory under load</t>
        </is>
      </c>
      <c r="E36" s="65" t="inlineStr">
        <is>
          <t>Reports load pandas/matplotlib/reportlab (lazy, but heavy). Concurrent report/PDF requests inflate per-worker RAM.</t>
        </is>
      </c>
      <c r="F36" s="65" t="inlineStr">
        <is>
          <t>Heavy libraries loaded on demand per worker; CPU/RAM intensive.</t>
        </is>
      </c>
      <c r="G36" s="65" t="inlineStr">
        <is>
          <t>Offload report generation to a background worker/queue; cap concurrent generations.</t>
        </is>
      </c>
      <c r="H36" s="72" t="inlineStr">
        <is>
          <t>Medium</t>
        </is>
      </c>
      <c r="I36" s="68" t="inlineStr">
        <is>
          <t>Open</t>
        </is>
      </c>
      <c r="J36" s="65" t="inlineStr">
        <is>
          <t>Backend Dev / DevOps</t>
        </is>
      </c>
      <c r="K36" s="69" t="inlineStr">
        <is>
          <t>10/06/2026</t>
        </is>
      </c>
      <c r="L36" s="65" t="inlineStr"/>
      <c r="M36" s="65" t="inlineStr"/>
      <c r="N36" s="65" t="inlineStr"/>
      <c r="O36" s="70">
        <f>IF(AND(K36&lt;&gt;"",M36&lt;&gt;""),M36-K36,"")</f>
        <v/>
      </c>
      <c r="P36" s="65" t="inlineStr">
        <is>
          <t>A few simultaneous report exports can OOM a small Railway box and restart workers, dropping in-flight requests.</t>
        </is>
      </c>
    </row>
    <row r="37" ht="90" customHeight="1" s="52">
      <c r="A37" s="63" t="inlineStr">
        <is>
          <t>BE-034</t>
        </is>
      </c>
      <c r="B37" s="64" t="inlineStr">
        <is>
          <t>Post-Development</t>
        </is>
      </c>
      <c r="C37" s="65" t="inlineStr">
        <is>
          <t>Monitoring</t>
        </is>
      </c>
      <c r="D37" s="66" t="inlineStr">
        <is>
          <t>Canned error messages hide real outages from monitoring</t>
        </is>
      </c>
      <c r="E37" s="65" t="inlineStr">
        <is>
          <t>On failure the bots return friendly text ('I'm having trouble connecting') with the error only in logs; without alerting, sustained failures look like normal traffic.</t>
        </is>
      </c>
      <c r="F37" s="65" t="inlineStr">
        <is>
          <t>Graceful degradation without a paired alert/metric.</t>
        </is>
      </c>
      <c r="G37" s="65" t="inlineStr">
        <is>
          <t>Emit an error metric whenever the canned fallback is used; alert on rate.</t>
        </is>
      </c>
      <c r="H37" s="73" t="inlineStr">
        <is>
          <t>Low</t>
        </is>
      </c>
      <c r="I37" s="68" t="inlineStr">
        <is>
          <t>Open</t>
        </is>
      </c>
      <c r="J37" s="65" t="inlineStr">
        <is>
          <t>DevOps</t>
        </is>
      </c>
      <c r="K37" s="69" t="inlineStr">
        <is>
          <t>10/06/2026</t>
        </is>
      </c>
      <c r="L37" s="65" t="inlineStr"/>
      <c r="M37" s="65" t="inlineStr"/>
      <c r="N37" s="65" t="inlineStr"/>
      <c r="O37" s="70">
        <f>IF(AND(K37&lt;&gt;"",M37&lt;&gt;""),M37-K37,"")</f>
        <v/>
      </c>
      <c r="P37" s="65" t="inlineStr">
        <is>
          <t>The AI can be down for hours while dashboards look green; discovered via customer complaints.</t>
        </is>
      </c>
    </row>
  </sheetData>
  <mergeCells count="2">
    <mergeCell ref="A1:P1"/>
    <mergeCell ref="A2:P2"/>
  </mergeCells>
  <dataValidations count="3">
    <dataValidation sqref="B4:B200" showDropDown="0" showInputMessage="0" showErrorMessage="0" allowBlank="0" type="list">
      <formula1>"Pre-Development,Development,Post-Development"</formula1>
    </dataValidation>
    <dataValidation sqref="H4:H200" showDropDown="0" showInputMessage="0" showErrorMessage="0" allowBlank="0" type="list">
      <formula1>"Critical,High,Medium,Low"</formula1>
    </dataValidation>
    <dataValidation sqref="I4:I200" showDropDown="0" showInputMessage="0" showErrorMessage="0" allowBlank="0" type="list">
      <formula1>"Open,In Progress,Blocked,Resolved,Closed,Deferred"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style="52" min="1" max="1"/>
    <col width="34" customWidth="1" style="52" min="2" max="2"/>
    <col width="46" customWidth="1" style="52" min="3" max="3"/>
    <col width="40" customWidth="1" style="52" min="4" max="4"/>
    <col width="34" customWidth="1" style="52" min="5" max="5"/>
    <col width="46" customWidth="1" style="52" min="6" max="6"/>
  </cols>
  <sheetData>
    <row r="1">
      <c r="A1" s="76" t="inlineStr">
        <is>
          <t>⚡ Load, Abuse &amp; Cloud-Cost Scenarios — 'what happens if…'</t>
        </is>
      </c>
    </row>
    <row r="2">
      <c r="A2" s="77" t="inlineStr">
        <is>
          <t>Scenario</t>
        </is>
      </c>
      <c r="B2" s="77" t="inlineStr">
        <is>
          <t>Trigger</t>
        </is>
      </c>
      <c r="C2" s="77" t="inlineStr">
        <is>
          <t>What happens technically (code-grounded)</t>
        </is>
      </c>
      <c r="D2" s="77" t="inlineStr">
        <is>
          <t>Business impact</t>
        </is>
      </c>
      <c r="E2" s="77" t="inlineStr">
        <is>
          <t>Current safeguard</t>
        </is>
      </c>
      <c r="F2" s="77" t="inlineStr">
        <is>
          <t>Gap / recommended fix</t>
        </is>
      </c>
    </row>
    <row r="3" ht="120" customHeight="1" s="52">
      <c r="A3" s="78" t="inlineStr">
        <is>
          <t>100 users land on one hotel page at once</t>
        </is>
      </c>
      <c r="B3" s="78" t="inlineStr">
        <is>
          <t>A campaign/QR/sale drives a burst of simultaneous visitors to one booking page.</t>
        </is>
      </c>
      <c r="C3" s="78" t="inlineStr">
        <is>
          <t>Each visit can fire room search + availability + AI widget pre-warm. Availability does O(bookings*rooms) loops; AI chat holds a DB connection for the whole LLM call. Default pool is ~10 conns/worker (SCALE_TUNING.md).</t>
        </is>
      </c>
      <c r="D3" s="78" t="inlineStr">
        <is>
          <t>Pool exhausts -&gt; requests queue/timeout -&gt; 500s for ALL hotels, not just this one. The 'success' of a campaign causes an outage.</t>
        </is>
      </c>
      <c r="E3" s="78" t="inlineStr">
        <is>
          <t>Per-worker pool, lazy heavy imports, short caches, documented connection math.</t>
        </is>
      </c>
      <c r="F3" s="78" t="inlineStr">
        <is>
          <t>Release DB session before LLM; SQL-aggregate availability; put a CDN/cache on public reads; right-size pool/concurrency; run the load test.</t>
        </is>
      </c>
    </row>
    <row r="4" ht="120" customHeight="1" s="52">
      <c r="A4" s="78" t="inlineStr">
        <is>
          <t>Bot spams the public AI chat</t>
        </is>
      </c>
      <c r="B4" s="78" t="inlineStr">
        <is>
          <t>Anonymous attacker scripts /public/chat/guest, rotating X-Forwarded-For to dodge the IP limit.</t>
        </is>
      </c>
      <c r="C4" s="78" t="inlineStr">
        <is>
          <t>5/min IP limit is spoofable; only backstop is 1000 LLM calls/hotel/day, which FAILS OPEN if Redis is down. Each message = 1-2 LLM calls; errors escalate to the 70B model.</t>
        </is>
      </c>
      <c r="D4" s="78" t="inlineStr">
        <is>
          <t>Up to ~1000 paid LLM calls/day/hotel (unbounded if Redis down) -&gt; cloud/LLM invoice spike with zero revenue. Multiplied across hotels if attacked broadly.</t>
        </is>
      </c>
      <c r="E4" s="78" t="inlineStr">
        <is>
          <t>Per-hotel daily cap (1000), feature flag, 5/min IP limit, cheap default model, token accounting.</t>
        </is>
      </c>
      <c r="F4" s="78" t="inlineStr">
        <is>
          <t>Signed widget token/captcha; fail-CLOSED quota; platform-wide spend breaker; one cheap-model fallback only.</t>
        </is>
      </c>
    </row>
    <row r="5" ht="120" customHeight="1" s="52">
      <c r="A5" s="78" t="inlineStr">
        <is>
          <t>Someone spams the backend auth</t>
        </is>
      </c>
      <c r="B5" s="78" t="inlineStr">
        <is>
          <t>Flood of authenticated routes with garbage/expired Bearer tokens.</t>
        </is>
      </c>
      <c r="C5" s="78" t="inlineStr">
        <is>
          <t>Login is on Supabase (no backend password endpoint), but invalid tokens are uncacheable, so every request runs verify_supabase_token (CPU + possible Supabase call). Most authenticated routes have NO rate limit.</t>
        </is>
      </c>
      <c r="D5" s="78" t="inlineStr">
        <is>
          <t>CPU and Supabase auth load climb; latency degrades for real logged-in hoteliers; possible Supabase rate-limit/cost.</t>
        </is>
      </c>
      <c r="E5" s="78" t="inlineStr">
        <is>
          <t>Token payloads cached (valid only); active-session tracking; Supabase verifies signatures &amp; exp.</t>
        </is>
      </c>
      <c r="F5" s="78" t="inlineStr">
        <is>
          <t>Baseline IP+token rate limit on authenticated routes; short negative-cache for failed verifications; alert on auth-error spikes.</t>
        </is>
      </c>
    </row>
    <row r="6" ht="120" customHeight="1" s="52">
      <c r="A6" s="78" t="inlineStr">
        <is>
          <t>Redis goes down in production</t>
        </is>
      </c>
      <c r="B6" s="78" t="inlineStr">
        <is>
          <t>Managed Redis blip or restart (single instance today).</t>
        </is>
      </c>
      <c r="C6" s="78" t="inlineStr">
        <is>
          <t>Rate limits, AI per-hotel quota, auth cache, slug cache, analytics caches and payment idempotency all degrade; quota &amp; limits fail OPEN.</t>
        </is>
      </c>
      <c r="D6" s="78" t="inlineStr">
        <is>
          <t>Abuse/cost protection vanishes exactly when the system is fragile; payment idempotency loss risks double-charges.</t>
        </is>
      </c>
      <c r="E6" s="78" t="inlineStr">
        <is>
          <t>Best-effort try/except around Redis; app keeps serving.</t>
        </is>
      </c>
      <c r="F6" s="78" t="inlineStr">
        <is>
          <t>Managed HA Redis; explicit fail-closed behaviour for cost/payment controls; Redis health alerting.</t>
        </is>
      </c>
    </row>
    <row r="7" ht="120" customHeight="1" s="52">
      <c r="A7" s="78" t="inlineStr">
        <is>
          <t>AI adoption grows (marketing works)</t>
        </is>
      </c>
      <c r="B7" s="78" t="inlineStr">
        <is>
          <t>More guests use the concierge across more hotels.</t>
        </is>
      </c>
      <c r="C7" s="78" t="inlineStr">
        <is>
          <t>Variable cost = 1-2 LLM calls per message; cache hit-rate is limited (short TTL). Hotelier assistant currently defaults to a 70B model.</t>
        </is>
      </c>
      <c r="D7" s="78" t="inlineStr">
        <is>
          <t>Cloud/LLM bill grows with traffic, not revenue; margins compress as usage rises.</t>
        </is>
      </c>
      <c r="E7" s="78" t="inlineStr">
        <is>
          <t>Cheap 8B default on guest bot, history capped to 20, tool/token caps, usage counters.</t>
        </is>
      </c>
      <c r="F7" s="78" t="inlineStr">
        <is>
          <t>Cheap default everywhere except analytics; raise cache hit-rate; per-tier budget + auto-throttle; bill pass-through decision.</t>
        </is>
      </c>
    </row>
    <row r="8" ht="120" customHeight="1" s="52">
      <c r="A8" s="78" t="inlineStr">
        <is>
          <t>Concurrent report/PDF exports</t>
        </is>
      </c>
      <c r="B8" s="78" t="inlineStr">
        <is>
          <t>Several hoteliers export PDF/Excel analytics at once.</t>
        </is>
      </c>
      <c r="C8" s="78" t="inlineStr">
        <is>
          <t>pandas/matplotlib/reportlab load per worker (lazy but heavy); CPU/RAM intensive; runs in-request.</t>
        </is>
      </c>
      <c r="D8" s="78" t="inlineStr">
        <is>
          <t>Small boxes can OOM and restart workers, dropping in-flight requests for everyone on that worker.</t>
        </is>
      </c>
      <c r="E8" s="78" t="inlineStr">
        <is>
          <t>Lazy imports keep idle RAM low.</t>
        </is>
      </c>
      <c r="F8" s="78" t="inlineStr">
        <is>
          <t>Move report generation to a background worker/queue; cap concurrent generations.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style="52" min="1" max="1"/>
    <col width="52" customWidth="1" style="52" min="2" max="2"/>
    <col width="52" customWidth="1" style="52" min="3" max="3"/>
    <col width="60" customWidth="1" style="52" min="4" max="4"/>
  </cols>
  <sheetData>
    <row r="1">
      <c r="A1" s="76" t="inlineStr">
        <is>
          <t>👥 Team &amp; Hiring Recommendation</t>
        </is>
      </c>
    </row>
    <row r="2" ht="70" customHeight="1" s="52">
      <c r="A2" s="78" t="inlineStr">
        <is>
          <t>Recommendation: YES — hire one Backend Engineer (priority) and one Frontend Engineer. The codebase is large (~70 routers, 250+ endpoints, payments, multi-tenant, AI) and several Critical issues (AI feature down, pool-exhaustion outage risk, prompt-injection on money actions) are currently unowned. A senior backend hire is the highest-leverage action; the Critical AI-crash bug alone is a same-day fix once owned.</t>
        </is>
      </c>
    </row>
    <row r="3">
      <c r="A3" s="77" t="inlineStr">
        <is>
          <t>Role</t>
        </is>
      </c>
      <c r="B3" s="77" t="inlineStr">
        <is>
          <t>Why needed (tied to issues)</t>
        </is>
      </c>
      <c r="C3" s="77" t="inlineStr">
        <is>
          <t>What they own in THIS project</t>
        </is>
      </c>
      <c r="D3" s="77" t="inlineStr">
        <is>
          <t>First 30/60/90 days</t>
        </is>
      </c>
    </row>
    <row r="4" ht="150" customHeight="1" s="52">
      <c r="A4" s="79" t="inlineStr">
        <is>
          <t>Backend Engineer (Python/FastAPI) — PRIORITY HIRE</t>
        </is>
      </c>
      <c r="B4" s="78" t="inlineStr">
        <is>
          <t>Owns the Critical/High backend issues: AI assistant crash (BE-007), DB connection held during LLM (BE-008), prompt-injection &amp; code-level confirmation on mutating tools (BE-011/012), cost (fallback/model choice BE-009/019), auth abuse &amp; rate limiting (BE-026), tenant isolation (BE-032), webhook integrity (BE-031).</t>
        </is>
      </c>
      <c r="C4" s="78" t="inlineStr">
        <is>
          <t>FastAPI services, AI agents (agno), SQLModel/Postgres performance &amp; indexing, Redis, payments/Razorpay, multi-tenant security, rate limiting/abuse, cost controls, tests, observability.</t>
        </is>
      </c>
      <c r="D4" s="78" t="inlineStr">
        <is>
          <t>30d: fix AI crash + add smoke tests; release DB session before LLM; baseline rate limits. 60d: prompt-injection hardening, code-enforced confirmations, SQL-aggregate availability + indexes, fail-closed quota. 90d: cost dashboards/alerts, Redis HA rollout, load test + scaling tune, CI test coverage for AI paths.</t>
        </is>
      </c>
    </row>
    <row r="5" ht="150" customHeight="1" s="52">
      <c r="A5" s="79" t="inlineStr">
        <is>
          <t>Frontend Engineer (React/Vite)</t>
        </is>
      </c>
      <c r="B5" s="78" t="inlineStr">
        <is>
          <t>Owns the guest-facing booking experience and the hotelier dashboard quality: chart pipeline reliability (BE-016), AI chat/streaming UX, error &amp; loading states so backend failures degrade gracefully, and conversion-critical booking flow.</t>
        </is>
      </c>
      <c r="C5" s="78" t="inlineStr">
        <is>
          <t>React/Vite app, booking engine UI, AI chat widget + SSE streaming UI, analytics charts, error/empty/loading states, accessibility, performance (bundle size, lazy loading), and frontend telemetry.</t>
        </is>
      </c>
      <c r="D5" s="78" t="inlineStr">
        <is>
          <t>30d: robust error/loading states for AI + booking; fix chart rendering pipeline. 60d: streaming chat UX + disconnect handling; conversion polish on the booking funnel. 90d: performance pass (bundle/CDN), accessibility, and frontend analytics for funnel drop-off.</t>
        </is>
      </c>
    </row>
    <row r="6" ht="150" customHeight="1" s="52">
      <c r="A6" s="79" t="inlineStr">
        <is>
          <t>(Optional) Part-time DevOps / SRE</t>
        </is>
      </c>
      <c r="B6" s="78" t="inlineStr">
        <is>
          <t>Several issues are infra: Redis HA/SPOF (BE-026), pool exhaustion (BE-023), trusted-proxy/WAF (BE-002/025), scaling tune &amp; load test (BE-004), report worker/queue (BE-033).</t>
        </is>
      </c>
      <c r="C6" s="78" t="inlineStr">
        <is>
          <t>Railway/infra, Supabase connection budget, Redis HA, CDN/WAF, monitoring &amp; alerting (Sentry), CI/CD, load testing.</t>
        </is>
      </c>
      <c r="D6" s="78" t="inlineStr">
        <is>
          <t>Can be a fractional/contract hire or absorbed by the senior backend engineer initially; formalise before scaling traffic.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B3" sqref="B3:H22"/>
    </sheetView>
  </sheetViews>
  <sheetFormatPr baseColWidth="10" defaultColWidth="8.83203125" defaultRowHeight="15"/>
  <cols>
    <col width="20" customWidth="1" style="52" min="1" max="1"/>
    <col width="55" customWidth="1" style="52" min="2" max="2"/>
    <col width="20" customWidth="1" style="52" min="3" max="3"/>
    <col width="14" customWidth="1" style="52" min="4" max="5"/>
    <col width="16" customWidth="1" style="52" min="6" max="7"/>
    <col width="18" customWidth="1" style="52" min="8" max="8"/>
  </cols>
  <sheetData>
    <row r="1" ht="34" customHeight="1" s="52">
      <c r="A1" s="54" t="inlineStr">
        <is>
          <t>🏨  Booking Engine — Phase-wise Delivery Plan</t>
        </is>
      </c>
    </row>
    <row r="2" ht="28" customHeight="1" s="52">
      <c r="A2" s="19" t="inlineStr">
        <is>
          <t>Phase</t>
        </is>
      </c>
      <c r="B2" s="19" t="inlineStr">
        <is>
          <t>Milestone / Activity</t>
        </is>
      </c>
      <c r="C2" s="19" t="inlineStr">
        <is>
          <t>Owner</t>
        </is>
      </c>
      <c r="D2" s="19" t="inlineStr">
        <is>
          <t>Start Date</t>
        </is>
      </c>
      <c r="E2" s="19" t="inlineStr">
        <is>
          <t>End Date</t>
        </is>
      </c>
      <c r="F2" s="19" t="inlineStr">
        <is>
          <t>Duration (days)</t>
        </is>
      </c>
      <c r="G2" s="19" t="inlineStr">
        <is>
          <t>Status</t>
        </is>
      </c>
      <c r="H2" s="19" t="inlineStr">
        <is>
          <t>Notes</t>
        </is>
      </c>
    </row>
    <row r="3" ht="36" customHeight="1" s="52">
      <c r="A3" s="80" t="inlineStr">
        <is>
          <t>Pre-Development</t>
        </is>
      </c>
      <c r="B3" s="65" t="inlineStr">
        <is>
          <t>Architecture &amp; cost-governance review (AI budget, trust model)</t>
        </is>
      </c>
      <c r="C3" s="69" t="inlineStr">
        <is>
          <t>Tech Lead</t>
        </is>
      </c>
      <c r="D3" s="69" t="inlineStr"/>
      <c r="E3" s="69" t="inlineStr"/>
      <c r="F3" s="69" t="inlineStr"/>
      <c r="G3" s="69" t="inlineStr">
        <is>
          <t>Not Started</t>
        </is>
      </c>
      <c r="H3" s="65" t="inlineStr"/>
    </row>
    <row r="4" ht="36" customHeight="1" s="52">
      <c r="A4" s="80" t="inlineStr">
        <is>
          <t>Pre-Development</t>
        </is>
      </c>
      <c r="B4" s="81" t="inlineStr">
        <is>
          <t>Capacity plan + DB connection budget vs Supabase limit</t>
        </is>
      </c>
      <c r="C4" s="82" t="inlineStr">
        <is>
          <t>Backend Dev</t>
        </is>
      </c>
      <c r="D4" s="82" t="inlineStr"/>
      <c r="E4" s="82" t="inlineStr"/>
      <c r="F4" s="82" t="inlineStr"/>
      <c r="G4" s="82" t="inlineStr">
        <is>
          <t>Not Started</t>
        </is>
      </c>
      <c r="H4" s="81" t="inlineStr"/>
    </row>
    <row r="5" ht="36" customHeight="1" s="52">
      <c r="A5" s="80" t="inlineStr">
        <is>
          <t>Pre-Development</t>
        </is>
      </c>
      <c r="B5" s="65" t="inlineStr">
        <is>
          <t>Run load test at expected peak (scripts/load_test.py)</t>
        </is>
      </c>
      <c r="C5" s="69" t="inlineStr">
        <is>
          <t>DevOps</t>
        </is>
      </c>
      <c r="D5" s="69" t="inlineStr"/>
      <c r="E5" s="69" t="inlineStr"/>
      <c r="F5" s="69" t="inlineStr"/>
      <c r="G5" s="69" t="inlineStr">
        <is>
          <t>Not Started</t>
        </is>
      </c>
      <c r="H5" s="65" t="inlineStr"/>
    </row>
    <row r="6" ht="36" customHeight="1" s="52">
      <c r="A6" s="80" t="inlineStr">
        <is>
          <t>Pre-Development</t>
        </is>
      </c>
      <c r="B6" s="81" t="inlineStr">
        <is>
          <t>Hiring: backend + frontend engineers</t>
        </is>
      </c>
      <c r="C6" s="82" t="inlineStr">
        <is>
          <t>Founder</t>
        </is>
      </c>
      <c r="D6" s="82" t="inlineStr"/>
      <c r="E6" s="82" t="inlineStr"/>
      <c r="F6" s="82" t="inlineStr"/>
      <c r="G6" s="82" t="inlineStr">
        <is>
          <t>Not Started</t>
        </is>
      </c>
      <c r="H6" s="81" t="inlineStr">
        <is>
          <t>See Team sheet</t>
        </is>
      </c>
    </row>
    <row r="7" ht="36" customHeight="1" s="52">
      <c r="A7" s="80" t="inlineStr">
        <is>
          <t>Pre-Development</t>
        </is>
      </c>
      <c r="B7" s="65" t="inlineStr">
        <is>
          <t>Define abuse/rate-limit &amp; fail-closed policy</t>
        </is>
      </c>
      <c r="C7" s="69" t="inlineStr">
        <is>
          <t>Backend Dev</t>
        </is>
      </c>
      <c r="D7" s="69" t="inlineStr"/>
      <c r="E7" s="69" t="inlineStr"/>
      <c r="F7" s="69" t="inlineStr"/>
      <c r="G7" s="69" t="inlineStr">
        <is>
          <t>Not Started</t>
        </is>
      </c>
      <c r="H7" s="65" t="inlineStr"/>
    </row>
    <row r="8" ht="36" customHeight="1" s="52">
      <c r="A8" s="83" t="inlineStr">
        <is>
          <t>Development</t>
        </is>
      </c>
      <c r="B8" s="81" t="inlineStr">
        <is>
          <t>Fix AI assistant crash (logger) + smoke tests</t>
        </is>
      </c>
      <c r="C8" s="82" t="inlineStr">
        <is>
          <t>Backend Dev</t>
        </is>
      </c>
      <c r="D8" s="82" t="inlineStr"/>
      <c r="E8" s="82" t="inlineStr"/>
      <c r="F8" s="82" t="inlineStr"/>
      <c r="G8" s="82" t="inlineStr">
        <is>
          <t>In Progress</t>
        </is>
      </c>
      <c r="H8" s="81" t="inlineStr">
        <is>
          <t>Critical</t>
        </is>
      </c>
    </row>
    <row r="9" ht="36" customHeight="1" s="52">
      <c r="A9" s="83" t="inlineStr">
        <is>
          <t>Development</t>
        </is>
      </c>
      <c r="B9" s="65" t="inlineStr">
        <is>
          <t>Release DB session before LLM round-trip</t>
        </is>
      </c>
      <c r="C9" s="69" t="inlineStr">
        <is>
          <t>Backend Dev</t>
        </is>
      </c>
      <c r="D9" s="69" t="inlineStr"/>
      <c r="E9" s="69" t="inlineStr"/>
      <c r="F9" s="69" t="inlineStr"/>
      <c r="G9" s="69" t="inlineStr">
        <is>
          <t>Not Started</t>
        </is>
      </c>
      <c r="H9" s="65" t="inlineStr"/>
    </row>
    <row r="10" ht="36" customHeight="1" s="52">
      <c r="A10" s="83" t="inlineStr">
        <is>
          <t>Development</t>
        </is>
      </c>
      <c r="B10" s="81" t="inlineStr">
        <is>
          <t>Enforce code-level confirmation on mutating AI tools</t>
        </is>
      </c>
      <c r="C10" s="82" t="inlineStr">
        <is>
          <t>Backend Dev</t>
        </is>
      </c>
      <c r="D10" s="82" t="inlineStr"/>
      <c r="E10" s="82" t="inlineStr"/>
      <c r="F10" s="82" t="inlineStr"/>
      <c r="G10" s="82" t="inlineStr">
        <is>
          <t>Not Started</t>
        </is>
      </c>
      <c r="H10" s="81" t="inlineStr"/>
    </row>
    <row r="11" ht="36" customHeight="1" s="52">
      <c r="A11" s="83" t="inlineStr">
        <is>
          <t>Development</t>
        </is>
      </c>
      <c r="B11" s="65" t="inlineStr">
        <is>
          <t>Prompt-injection hardening + tenant-scope tests</t>
        </is>
      </c>
      <c r="C11" s="69" t="inlineStr">
        <is>
          <t>Backend Dev</t>
        </is>
      </c>
      <c r="D11" s="69" t="inlineStr"/>
      <c r="E11" s="69" t="inlineStr"/>
      <c r="F11" s="69" t="inlineStr"/>
      <c r="G11" s="69" t="inlineStr">
        <is>
          <t>Not Started</t>
        </is>
      </c>
      <c r="H11" s="65" t="inlineStr"/>
    </row>
    <row r="12" ht="36" customHeight="1" s="52">
      <c r="A12" s="83" t="inlineStr">
        <is>
          <t>Development</t>
        </is>
      </c>
      <c r="B12" s="81" t="inlineStr">
        <is>
          <t>Cost: cheap-model default + fallback fix + caching</t>
        </is>
      </c>
      <c r="C12" s="82" t="inlineStr">
        <is>
          <t>Backend Dev</t>
        </is>
      </c>
      <c r="D12" s="82" t="inlineStr"/>
      <c r="E12" s="82" t="inlineStr"/>
      <c r="F12" s="82" t="inlineStr"/>
      <c r="G12" s="82" t="inlineStr">
        <is>
          <t>Not Started</t>
        </is>
      </c>
      <c r="H12" s="81" t="inlineStr"/>
    </row>
    <row r="13" ht="36" customHeight="1" s="52">
      <c r="A13" s="83" t="inlineStr">
        <is>
          <t>Development</t>
        </is>
      </c>
      <c r="B13" s="65" t="inlineStr">
        <is>
          <t>Performance: SQL aggregation + indexes</t>
        </is>
      </c>
      <c r="C13" s="69" t="inlineStr">
        <is>
          <t>Backend Dev</t>
        </is>
      </c>
      <c r="D13" s="69" t="inlineStr"/>
      <c r="E13" s="69" t="inlineStr"/>
      <c r="F13" s="69" t="inlineStr"/>
      <c r="G13" s="69" t="inlineStr">
        <is>
          <t>Not Started</t>
        </is>
      </c>
      <c r="H13" s="65" t="inlineStr"/>
    </row>
    <row r="14" ht="36" customHeight="1" s="52">
      <c r="A14" s="83" t="inlineStr">
        <is>
          <t>Development</t>
        </is>
      </c>
      <c r="B14" s="81" t="inlineStr">
        <is>
          <t>Frontend: chart pipeline, error states, loading UX</t>
        </is>
      </c>
      <c r="C14" s="82" t="inlineStr">
        <is>
          <t>Frontend Dev</t>
        </is>
      </c>
      <c r="D14" s="82" t="inlineStr"/>
      <c r="E14" s="82" t="inlineStr"/>
      <c r="F14" s="82" t="inlineStr"/>
      <c r="G14" s="82" t="inlineStr">
        <is>
          <t>Not Started</t>
        </is>
      </c>
      <c r="H14" s="81" t="inlineStr"/>
    </row>
    <row r="15" ht="36" customHeight="1" s="52">
      <c r="A15" s="83" t="inlineStr">
        <is>
          <t>Development</t>
        </is>
      </c>
      <c r="B15" s="65" t="inlineStr">
        <is>
          <t>Logging/PII hygiene + error-message sanitisation</t>
        </is>
      </c>
      <c r="C15" s="69" t="inlineStr">
        <is>
          <t>Backend Dev</t>
        </is>
      </c>
      <c r="D15" s="69" t="inlineStr"/>
      <c r="E15" s="69" t="inlineStr"/>
      <c r="F15" s="69" t="inlineStr"/>
      <c r="G15" s="69" t="inlineStr">
        <is>
          <t>Not Started</t>
        </is>
      </c>
      <c r="H15" s="65" t="inlineStr"/>
    </row>
    <row r="16" ht="36" customHeight="1" s="52">
      <c r="A16" s="83" t="inlineStr">
        <is>
          <t>Development</t>
        </is>
      </c>
      <c r="B16" s="81" t="inlineStr">
        <is>
          <t>QA pass + automated test coverage for AI paths</t>
        </is>
      </c>
      <c r="C16" s="82" t="inlineStr">
        <is>
          <t>Both Devs</t>
        </is>
      </c>
      <c r="D16" s="82" t="inlineStr"/>
      <c r="E16" s="82" t="inlineStr"/>
      <c r="F16" s="82" t="inlineStr"/>
      <c r="G16" s="82" t="inlineStr">
        <is>
          <t>Not Started</t>
        </is>
      </c>
      <c r="H16" s="81" t="inlineStr"/>
    </row>
    <row r="17" ht="36" customHeight="1" s="52">
      <c r="A17" s="84" t="inlineStr">
        <is>
          <t>Post-Development</t>
        </is>
      </c>
      <c r="B17" s="65" t="inlineStr">
        <is>
          <t>Redis HA + fail-closed quota rollout</t>
        </is>
      </c>
      <c r="C17" s="69" t="inlineStr">
        <is>
          <t>DevOps</t>
        </is>
      </c>
      <c r="D17" s="69" t="inlineStr"/>
      <c r="E17" s="69" t="inlineStr"/>
      <c r="F17" s="69" t="inlineStr"/>
      <c r="G17" s="69" t="inlineStr">
        <is>
          <t>Not Started</t>
        </is>
      </c>
      <c r="H17" s="65" t="inlineStr"/>
    </row>
    <row r="18" ht="36" customHeight="1" s="52">
      <c r="A18" s="84" t="inlineStr">
        <is>
          <t>Post-Development</t>
        </is>
      </c>
      <c r="B18" s="81" t="inlineStr">
        <is>
          <t>Cost monitoring + per-hotel spend alerts</t>
        </is>
      </c>
      <c r="C18" s="82" t="inlineStr">
        <is>
          <t>Backend Dev</t>
        </is>
      </c>
      <c r="D18" s="82" t="inlineStr"/>
      <c r="E18" s="82" t="inlineStr"/>
      <c r="F18" s="82" t="inlineStr"/>
      <c r="G18" s="82" t="inlineStr">
        <is>
          <t>Not Started</t>
        </is>
      </c>
      <c r="H18" s="81" t="inlineStr"/>
    </row>
    <row r="19" ht="36" customHeight="1" s="52">
      <c r="A19" s="84" t="inlineStr">
        <is>
          <t>Post-Development</t>
        </is>
      </c>
      <c r="B19" s="65" t="inlineStr">
        <is>
          <t>WAF / signed widget token / captcha for public AI</t>
        </is>
      </c>
      <c r="C19" s="69" t="inlineStr">
        <is>
          <t>Backend Dev</t>
        </is>
      </c>
      <c r="D19" s="69" t="inlineStr"/>
      <c r="E19" s="69" t="inlineStr"/>
      <c r="F19" s="69" t="inlineStr"/>
      <c r="G19" s="69" t="inlineStr">
        <is>
          <t>Not Started</t>
        </is>
      </c>
      <c r="H19" s="65" t="inlineStr"/>
    </row>
    <row r="20" ht="36" customHeight="1" s="52">
      <c r="A20" s="84" t="inlineStr">
        <is>
          <t>Post-Development</t>
        </is>
      </c>
      <c r="B20" s="81" t="inlineStr">
        <is>
          <t>Scaling tune (pool/concurrency/replicas) + CDN</t>
        </is>
      </c>
      <c r="C20" s="82" t="inlineStr">
        <is>
          <t>DevOps</t>
        </is>
      </c>
      <c r="D20" s="82" t="inlineStr"/>
      <c r="E20" s="82" t="inlineStr"/>
      <c r="F20" s="82" t="inlineStr"/>
      <c r="G20" s="82" t="inlineStr">
        <is>
          <t>Not Started</t>
        </is>
      </c>
      <c r="H20" s="81" t="inlineStr"/>
    </row>
    <row r="21" ht="36" customHeight="1" s="52">
      <c r="A21" s="84" t="inlineStr">
        <is>
          <t>Post-Development</t>
        </is>
      </c>
      <c r="B21" s="65" t="inlineStr">
        <is>
          <t>Hypercare monitoring &amp; SLA tracking (30 days)</t>
        </is>
      </c>
      <c r="C21" s="69" t="inlineStr">
        <is>
          <t>Both Devs</t>
        </is>
      </c>
      <c r="D21" s="69" t="inlineStr"/>
      <c r="E21" s="69" t="inlineStr"/>
      <c r="F21" s="69" t="inlineStr"/>
      <c r="G21" s="69" t="inlineStr">
        <is>
          <t>Not Started</t>
        </is>
      </c>
      <c r="H21" s="65" t="inlineStr"/>
    </row>
    <row r="22" ht="36" customHeight="1" s="52">
      <c r="A22" s="84" t="inlineStr">
        <is>
          <t>Post-Development</t>
        </is>
      </c>
      <c r="B22" s="81" t="inlineStr">
        <is>
          <t>Background worker for reports/PDF + dead-letter syncs</t>
        </is>
      </c>
      <c r="C22" s="82" t="inlineStr">
        <is>
          <t>Backend Dev</t>
        </is>
      </c>
      <c r="D22" s="82" t="inlineStr"/>
      <c r="E22" s="82" t="inlineStr"/>
      <c r="F22" s="82" t="inlineStr"/>
      <c r="G22" s="82" t="inlineStr">
        <is>
          <t>Not Started</t>
        </is>
      </c>
      <c r="H22" s="81" t="inlineStr"/>
    </row>
  </sheetData>
  <mergeCells count="1">
    <mergeCell ref="A1:H1"/>
  </mergeCells>
  <dataValidations count="1">
    <dataValidation sqref="G3:G100" showDropDown="0" showInputMessage="0" showErrorMessage="0" allowBlank="0" type="list">
      <formula1>"Not Started,In Progress,Completed,Blocked,Deferred"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zoomScale="119" workbookViewId="0">
      <selection activeCell="A3" sqref="A3"/>
    </sheetView>
  </sheetViews>
  <sheetFormatPr baseColWidth="10" defaultColWidth="8.83203125" defaultRowHeight="15"/>
  <cols>
    <col width="14" customWidth="1" style="52" min="1" max="1"/>
    <col width="50" customWidth="1" style="52" min="2" max="2"/>
    <col width="60" customWidth="1" style="52" min="3" max="3"/>
    <col width="16" customWidth="1" style="52" min="4" max="5"/>
    <col width="20" customWidth="1" style="52" min="6" max="6"/>
    <col width="28" customWidth="1" style="52" min="7" max="7"/>
  </cols>
  <sheetData>
    <row r="1" ht="34" customHeight="1" s="52">
      <c r="A1" s="61" t="inlineStr">
        <is>
          <t xml:space="preserve"> Issue Priority Matrix — Definitions &amp; Resolution SLAs</t>
        </is>
      </c>
    </row>
    <row r="2">
      <c r="A2" s="55" t="inlineStr">
        <is>
          <t>Priority</t>
        </is>
      </c>
      <c r="B2" s="55" t="inlineStr">
        <is>
          <t>Definition</t>
        </is>
      </c>
      <c r="C2" s="55" t="inlineStr">
        <is>
          <t>Examples</t>
        </is>
      </c>
      <c r="D2" s="55" t="inlineStr">
        <is>
          <t>Response SLA</t>
        </is>
      </c>
      <c r="E2" s="55" t="inlineStr">
        <is>
          <t>Resolution SLA</t>
        </is>
      </c>
      <c r="F2" s="55" t="inlineStr">
        <is>
          <t>Owner</t>
        </is>
      </c>
      <c r="G2" s="55" t="inlineStr">
        <is>
          <t>Escalation</t>
        </is>
      </c>
    </row>
    <row r="3" ht="60" customHeight="1" s="52">
      <c r="A3" s="85" t="inlineStr">
        <is>
          <t>Critical</t>
        </is>
      </c>
      <c r="B3" s="86" t="inlineStr">
        <is>
          <t>Breaks core money/data flow or takes the platform down; no workaround.</t>
        </is>
      </c>
      <c r="C3" s="86" t="inlineStr">
        <is>
          <t>AI assistant 500s on every call; DB pool exhaustion outage; spoofed payment webhook; cross-tenant data leak.</t>
        </is>
      </c>
      <c r="D3" s="87" t="inlineStr">
        <is>
          <t>Immediate (&lt; 1 h)</t>
        </is>
      </c>
      <c r="E3" s="87" t="inlineStr">
        <is>
          <t>4 h (same day)</t>
        </is>
      </c>
      <c r="F3" s="87" t="inlineStr">
        <is>
          <t>Tech Lead</t>
        </is>
      </c>
      <c r="G3" s="87" t="inlineStr">
        <is>
          <t>Founder</t>
        </is>
      </c>
    </row>
    <row r="4" ht="60" customHeight="1" s="52">
      <c r="A4" s="88" t="inlineStr">
        <is>
          <t>High</t>
        </is>
      </c>
      <c r="B4" s="89" t="inlineStr">
        <is>
          <t>Major feature broken or a real cost/abuse/security risk; workaround is painful.</t>
        </is>
      </c>
      <c r="C4" s="89" t="inlineStr">
        <is>
          <t>Public AI chat cost abuse; 70B fallback doubling spend; no rate limit on auth routes; Redis SPOF.</t>
        </is>
      </c>
      <c r="D4" s="90" t="inlineStr">
        <is>
          <t>2 h</t>
        </is>
      </c>
      <c r="E4" s="90" t="inlineStr">
        <is>
          <t>24 h</t>
        </is>
      </c>
      <c r="F4" s="90" t="inlineStr">
        <is>
          <t>Tech Lead</t>
        </is>
      </c>
      <c r="G4" s="90" t="inlineStr">
        <is>
          <t>Founder</t>
        </is>
      </c>
    </row>
    <row r="5" ht="60" customHeight="1" s="52">
      <c r="A5" s="91" t="inlineStr">
        <is>
          <t>Medium</t>
        </is>
      </c>
      <c r="B5" s="92" t="inlineStr">
        <is>
          <t>Degraded behaviour, performance, or hygiene issue; limited blast radius.</t>
        </is>
      </c>
      <c r="C5" s="92" t="inlineStr">
        <is>
          <t>O(n*m) availability loops; PII at INFO; fragile provider detection; report memory spikes.</t>
        </is>
      </c>
      <c r="D5" s="93" t="inlineStr">
        <is>
          <t>4 h</t>
        </is>
      </c>
      <c r="E5" s="93" t="inlineStr">
        <is>
          <t>3 business days</t>
        </is>
      </c>
      <c r="F5" s="93" t="inlineStr">
        <is>
          <t>Tech Lead</t>
        </is>
      </c>
      <c r="G5" s="93" t="inlineStr">
        <is>
          <t>Tech Lead</t>
        </is>
      </c>
    </row>
    <row r="6" ht="60" customHeight="1" s="52">
      <c r="A6" s="94" t="inlineStr">
        <is>
          <t>Low</t>
        </is>
      </c>
      <c r="B6" s="95" t="inlineStr">
        <is>
          <t>Cosmetic, observability, or low-likelihood issue; fix when convenient.</t>
        </is>
      </c>
      <c r="C6" s="95" t="inlineStr">
        <is>
          <t>Chart echo reliability; silent usage accounting; canned-error monitoring gap.</t>
        </is>
      </c>
      <c r="D6" s="83" t="inlineStr">
        <is>
          <t>Next sprint</t>
        </is>
      </c>
      <c r="E6" s="83" t="inlineStr">
        <is>
          <t>1–2 sprints</t>
        </is>
      </c>
      <c r="F6" s="83" t="inlineStr">
        <is>
          <t>Tech Lead</t>
        </is>
      </c>
      <c r="G6" s="83" t="inlineStr">
        <is>
          <t>Tech Lead</t>
        </is>
      </c>
    </row>
    <row r="8" ht="20" customHeight="1" s="52"/>
    <row r="9">
      <c r="A9" s="55" t="inlineStr">
        <is>
          <t>COLOUR LEGEND</t>
        </is>
      </c>
      <c r="B9" s="74" t="n"/>
      <c r="C9" s="74" t="n"/>
      <c r="D9" s="74" t="n"/>
      <c r="E9" s="74" t="n"/>
      <c r="F9" s="74" t="n"/>
      <c r="G9" s="75" t="n"/>
    </row>
    <row r="10" ht="24" customHeight="1" s="52">
      <c r="A10" s="28" t="inlineStr">
        <is>
          <t>Critical</t>
        </is>
      </c>
      <c r="B10" s="29" t="inlineStr">
        <is>
          <t>High</t>
        </is>
      </c>
      <c r="C10" s="30" t="inlineStr">
        <is>
          <t>Medium</t>
        </is>
      </c>
      <c r="D10" s="31" t="inlineStr">
        <is>
          <t>Low</t>
        </is>
      </c>
      <c r="E10" s="32" t="inlineStr">
        <is>
          <t>Pre-Dev Phase</t>
        </is>
      </c>
      <c r="F10" s="31" t="inlineStr">
        <is>
          <t>Dev Phase</t>
        </is>
      </c>
      <c r="G10" s="33" t="inlineStr">
        <is>
          <t>Post-Dev Phase</t>
        </is>
      </c>
    </row>
  </sheetData>
  <mergeCells count="2">
    <mergeCell ref="A1:G1"/>
    <mergeCell ref="A9:G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2" sqref="A2:F2"/>
    </sheetView>
  </sheetViews>
  <sheetFormatPr baseColWidth="10" defaultColWidth="8.83203125" defaultRowHeight="15"/>
  <cols>
    <col width="20" customWidth="1" style="52" min="1" max="1"/>
    <col width="10" customWidth="1" style="52" min="2" max="2"/>
    <col width="4" customWidth="1" style="52" min="3" max="3"/>
    <col width="20" customWidth="1" style="52" min="4" max="4"/>
    <col width="10" customWidth="1" style="52" min="5" max="5"/>
    <col width="4" customWidth="1" style="52" min="6" max="6"/>
  </cols>
  <sheetData>
    <row r="1" ht="34" customHeight="1" s="52">
      <c r="A1" s="61" t="inlineStr">
        <is>
          <t xml:space="preserve">  Booking Engine — Issue Summary Dashboard</t>
        </is>
      </c>
    </row>
    <row r="2" ht="18" customHeight="1" s="52">
      <c r="A2" s="58" t="inlineStr">
        <is>
          <t>Update the Issue Tracker sheet; this dashboard auto-calculates totals</t>
        </is>
      </c>
    </row>
    <row r="4">
      <c r="A4" s="57" t="inlineStr">
        <is>
          <t>ISSUES BY STATUS</t>
        </is>
      </c>
      <c r="B4" s="75" t="n"/>
      <c r="D4" s="60" t="inlineStr">
        <is>
          <t>ISSUES BY PRIORITY</t>
        </is>
      </c>
      <c r="E4" s="75" t="n"/>
    </row>
    <row r="5" ht="24" customHeight="1" s="52">
      <c r="A5" s="34" t="inlineStr">
        <is>
          <t>Status</t>
        </is>
      </c>
      <c r="B5" s="35" t="inlineStr">
        <is>
          <t>Count</t>
        </is>
      </c>
      <c r="D5" s="34" t="inlineStr">
        <is>
          <t>Priority</t>
        </is>
      </c>
      <c r="E5" s="35" t="inlineStr">
        <is>
          <t>Count</t>
        </is>
      </c>
    </row>
    <row r="6" ht="24" customHeight="1" s="52">
      <c r="A6" s="36" t="inlineStr">
        <is>
          <t>Open</t>
        </is>
      </c>
      <c r="B6" s="37">
        <f>COUNTIF(' Issue Tracker'!I:I,A6)</f>
        <v/>
      </c>
      <c r="D6" s="38" t="inlineStr">
        <is>
          <t>Critical</t>
        </is>
      </c>
      <c r="E6" s="37">
        <f>COUNTIF(' Issue Tracker'!H:H,D6)</f>
        <v/>
      </c>
    </row>
    <row r="7" ht="24" customHeight="1" s="52">
      <c r="A7" s="36" t="inlineStr">
        <is>
          <t>In Progress</t>
        </is>
      </c>
      <c r="B7" s="37">
        <f>COUNTIF(' Issue Tracker'!I:I,A7)</f>
        <v/>
      </c>
      <c r="D7" s="39" t="inlineStr">
        <is>
          <t>High</t>
        </is>
      </c>
      <c r="E7" s="37">
        <f>COUNTIF(' Issue Tracker'!H:H,D7)</f>
        <v/>
      </c>
    </row>
    <row r="8" ht="24" customHeight="1" s="52">
      <c r="A8" s="36" t="inlineStr">
        <is>
          <t>Blocked</t>
        </is>
      </c>
      <c r="B8" s="37">
        <f>COUNTIF(' Issue Tracker'!I:I,A8)</f>
        <v/>
      </c>
      <c r="D8" s="40" t="inlineStr">
        <is>
          <t>Medium</t>
        </is>
      </c>
      <c r="E8" s="37">
        <f>COUNTIF(' Issue Tracker'!H:H,D8)</f>
        <v/>
      </c>
    </row>
    <row r="9" ht="24" customHeight="1" s="52">
      <c r="A9" s="36" t="inlineStr">
        <is>
          <t>Resolved</t>
        </is>
      </c>
      <c r="B9" s="37">
        <f>COUNTIF(' Issue Tracker'!I:I,A9)</f>
        <v/>
      </c>
      <c r="D9" s="41" t="inlineStr">
        <is>
          <t>Low</t>
        </is>
      </c>
      <c r="E9" s="37">
        <f>COUNTIF(' Issue Tracker'!H:H,D9)</f>
        <v/>
      </c>
    </row>
    <row r="10" ht="24" customHeight="1" s="52">
      <c r="A10" s="36" t="inlineStr">
        <is>
          <t>Closed</t>
        </is>
      </c>
      <c r="B10" s="37">
        <f>COUNTIF(' Issue Tracker'!I:I,A10)</f>
        <v/>
      </c>
    </row>
    <row r="11" ht="24" customHeight="1" s="52">
      <c r="A11" s="36" t="inlineStr">
        <is>
          <t>Deferred</t>
        </is>
      </c>
      <c r="B11" s="37">
        <f>COUNTIF(' Issue Tracker'!I:I,A11)</f>
        <v/>
      </c>
    </row>
    <row r="12" ht="24" customHeight="1" s="52">
      <c r="A12" s="42" t="inlineStr">
        <is>
          <t>TOTAL</t>
        </is>
      </c>
      <c r="B12" s="43">
        <f>SUM(B6:B11)</f>
        <v/>
      </c>
    </row>
    <row r="13" ht="24" customHeight="1" s="52"/>
    <row r="14" ht="24" customHeight="1" s="52">
      <c r="A14" s="59" t="inlineStr">
        <is>
          <t>ISSUES BY PHASE</t>
        </is>
      </c>
      <c r="B14" s="75" t="n"/>
    </row>
    <row r="15" ht="24" customHeight="1" s="52">
      <c r="A15" s="34" t="inlineStr">
        <is>
          <t>Phase</t>
        </is>
      </c>
      <c r="B15" s="35" t="inlineStr">
        <is>
          <t>Count</t>
        </is>
      </c>
    </row>
    <row r="16" ht="24" customHeight="1" s="52">
      <c r="A16" s="44" t="inlineStr">
        <is>
          <t>Pre-Development</t>
        </is>
      </c>
      <c r="B16" s="37">
        <f>COUNTIF(' Issue Tracker'!B:B,A16)</f>
        <v/>
      </c>
    </row>
    <row r="17" ht="24" customHeight="1" s="52">
      <c r="A17" s="45" t="inlineStr">
        <is>
          <t>Development</t>
        </is>
      </c>
      <c r="B17" s="37">
        <f>COUNTIF(' Issue Tracker'!B:B,A17)</f>
        <v/>
      </c>
    </row>
    <row r="18" ht="24" customHeight="1" s="52">
      <c r="A18" s="46" t="inlineStr">
        <is>
          <t>Post-Development</t>
        </is>
      </c>
      <c r="B18" s="37">
        <f>COUNTIF(' Issue Tracker'!B:B,A18)</f>
        <v/>
      </c>
    </row>
    <row r="19" ht="24" customHeight="1" s="52"/>
  </sheetData>
  <mergeCells count="5">
    <mergeCell ref="A4:B4"/>
    <mergeCell ref="A2:F2"/>
    <mergeCell ref="A1:F1"/>
    <mergeCell ref="A14:B14"/>
    <mergeCell ref="D4:E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D5" sqref="D5"/>
    </sheetView>
  </sheetViews>
  <sheetFormatPr baseColWidth="10" defaultColWidth="8.83203125" defaultRowHeight="15"/>
  <cols>
    <col width="16" customWidth="1" style="52" min="1" max="1"/>
    <col width="34" customWidth="1" style="52" min="2" max="2"/>
    <col width="10" customWidth="1" style="52" min="3" max="3"/>
    <col width="20" customWidth="1" style="52" min="4" max="4"/>
    <col width="18" customWidth="1" style="52" min="5" max="5"/>
    <col width="26" customWidth="1" style="52" min="6" max="6"/>
  </cols>
  <sheetData>
    <row r="1" ht="34" customHeight="1" s="52">
      <c r="A1" s="61" t="inlineStr">
        <is>
          <t>Recommended Timeframes for Issue Resolution</t>
        </is>
      </c>
    </row>
    <row r="2" ht="28" customHeight="1" s="52">
      <c r="A2" s="55" t="inlineStr">
        <is>
          <t>Phase</t>
        </is>
      </c>
      <c r="B2" s="55" t="inlineStr">
        <is>
          <t>Issue Type</t>
        </is>
      </c>
      <c r="C2" s="55" t="inlineStr">
        <is>
          <t>Priority</t>
        </is>
      </c>
      <c r="D2" s="55" t="inlineStr">
        <is>
          <t>Discovery Method</t>
        </is>
      </c>
      <c r="E2" s="55" t="inlineStr">
        <is>
          <t>Target Fix Window</t>
        </is>
      </c>
      <c r="F2" s="55" t="inlineStr">
        <is>
          <t>Notes</t>
        </is>
      </c>
    </row>
    <row r="3" ht="44" customHeight="1" s="52">
      <c r="A3" s="96" t="inlineStr">
        <is>
          <t>Pre-Development</t>
        </is>
      </c>
      <c r="B3" s="65" t="inlineStr">
        <is>
          <t>Architecture/cost-governance gap</t>
        </is>
      </c>
      <c r="C3" s="85" t="inlineStr">
        <is>
          <t>Critical</t>
        </is>
      </c>
      <c r="D3" s="65" t="inlineStr">
        <is>
          <t>Design review / audit</t>
        </is>
      </c>
      <c r="E3" s="65" t="inlineStr">
        <is>
          <t>Before dev starts</t>
        </is>
      </c>
      <c r="F3" s="65" t="inlineStr">
        <is>
          <t>Blocks safe build</t>
        </is>
      </c>
    </row>
    <row r="4" ht="44" customHeight="1" s="52">
      <c r="A4" s="96" t="inlineStr">
        <is>
          <t>Pre-Development</t>
        </is>
      </c>
      <c r="B4" s="81" t="inlineStr">
        <is>
          <t>Capacity/connection planning</t>
        </is>
      </c>
      <c r="C4" s="88" t="inlineStr">
        <is>
          <t>High</t>
        </is>
      </c>
      <c r="D4" s="81" t="inlineStr">
        <is>
          <t>Load test / review</t>
        </is>
      </c>
      <c r="E4" s="81" t="inlineStr">
        <is>
          <t>Before go-live</t>
        </is>
      </c>
      <c r="F4" s="81" t="inlineStr">
        <is>
          <t>Sets the scaling ceiling</t>
        </is>
      </c>
    </row>
    <row r="5" ht="44" customHeight="1" s="52">
      <c r="A5" s="96" t="inlineStr">
        <is>
          <t>Pre-Development</t>
        </is>
      </c>
      <c r="B5" s="65" t="inlineStr">
        <is>
          <t>Trusted-proxy / IP trust</t>
        </is>
      </c>
      <c r="C5" s="88" t="inlineStr">
        <is>
          <t>High</t>
        </is>
      </c>
      <c r="D5" s="65" t="inlineStr">
        <is>
          <t>Security review</t>
        </is>
      </c>
      <c r="E5" s="65" t="inlineStr">
        <is>
          <t>Before go-live</t>
        </is>
      </c>
      <c r="F5" s="65" t="inlineStr">
        <is>
          <t>Affects every IP limit</t>
        </is>
      </c>
    </row>
    <row r="6" ht="44" customHeight="1" s="52">
      <c r="A6" s="96" t="inlineStr">
        <is>
          <t>Pre-Development</t>
        </is>
      </c>
      <c r="B6" s="81" t="inlineStr">
        <is>
          <t>Team/ownership gap</t>
        </is>
      </c>
      <c r="C6" s="91" t="inlineStr">
        <is>
          <t>Medium</t>
        </is>
      </c>
      <c r="D6" s="81" t="inlineStr">
        <is>
          <t>Management review</t>
        </is>
      </c>
      <c r="E6" s="81" t="inlineStr">
        <is>
          <t>This quarter</t>
        </is>
      </c>
      <c r="F6" s="81" t="inlineStr">
        <is>
          <t>Staffing decision</t>
        </is>
      </c>
    </row>
    <row r="7" ht="44" customHeight="1" s="52">
      <c r="A7" s="94" t="inlineStr">
        <is>
          <t>Development</t>
        </is>
      </c>
      <c r="B7" s="65" t="inlineStr">
        <is>
          <t>AI agent crash / 500</t>
        </is>
      </c>
      <c r="C7" s="85" t="inlineStr">
        <is>
          <t>Critical</t>
        </is>
      </c>
      <c r="D7" s="65" t="inlineStr">
        <is>
          <t>Smoke test / QA</t>
        </is>
      </c>
      <c r="E7" s="65" t="inlineStr">
        <is>
          <t>&lt; 1 day</t>
        </is>
      </c>
      <c r="F7" s="65" t="inlineStr">
        <is>
          <t>Feature-down bug</t>
        </is>
      </c>
    </row>
    <row r="8" ht="44" customHeight="1" s="52">
      <c r="A8" s="94" t="inlineStr">
        <is>
          <t>Development</t>
        </is>
      </c>
      <c r="B8" s="81" t="inlineStr">
        <is>
          <t>Connection held during LLM</t>
        </is>
      </c>
      <c r="C8" s="88" t="inlineStr">
        <is>
          <t>High</t>
        </is>
      </c>
      <c r="D8" s="81" t="inlineStr">
        <is>
          <t>Load test / profiling</t>
        </is>
      </c>
      <c r="E8" s="81" t="inlineStr">
        <is>
          <t>1 sprint</t>
        </is>
      </c>
      <c r="F8" s="81" t="inlineStr">
        <is>
          <t>Scaling root cause</t>
        </is>
      </c>
    </row>
    <row r="9" ht="44" customHeight="1" s="52">
      <c r="A9" s="94" t="inlineStr">
        <is>
          <t>Development</t>
        </is>
      </c>
      <c r="B9" s="65" t="inlineStr">
        <is>
          <t>Prompt injection / authz on tools</t>
        </is>
      </c>
      <c r="C9" s="91" t="inlineStr">
        <is>
          <t>Critical</t>
        </is>
      </c>
      <c r="D9" s="65" t="inlineStr">
        <is>
          <t>Security test</t>
        </is>
      </c>
      <c r="E9" s="65" t="inlineStr">
        <is>
          <t>&lt; 1 sprint</t>
        </is>
      </c>
      <c r="F9" s="65" t="inlineStr">
        <is>
          <t>Money/data at risk</t>
        </is>
      </c>
    </row>
    <row r="10" ht="44" customHeight="1" s="52">
      <c r="A10" s="94" t="inlineStr">
        <is>
          <t>Development</t>
        </is>
      </c>
      <c r="B10" s="81" t="inlineStr">
        <is>
          <t>Performance (N+1 / loops)</t>
        </is>
      </c>
      <c r="C10" s="94" t="inlineStr">
        <is>
          <t>Medium</t>
        </is>
      </c>
      <c r="D10" s="81" t="inlineStr">
        <is>
          <t>Profiling</t>
        </is>
      </c>
      <c r="E10" s="81" t="inlineStr">
        <is>
          <t>1-2 sprints</t>
        </is>
      </c>
      <c r="F10" s="81" t="inlineStr">
        <is>
          <t>Latency under load</t>
        </is>
      </c>
    </row>
    <row r="11" ht="44" customHeight="1" s="52">
      <c r="A11" s="94" t="inlineStr">
        <is>
          <t>Development</t>
        </is>
      </c>
      <c r="B11" s="65" t="inlineStr">
        <is>
          <t>Cost (model choice / fallback)</t>
        </is>
      </c>
      <c r="C11" s="88" t="inlineStr">
        <is>
          <t>High</t>
        </is>
      </c>
      <c r="D11" s="65" t="inlineStr">
        <is>
          <t>Cost review</t>
        </is>
      </c>
      <c r="E11" s="65" t="inlineStr">
        <is>
          <t>1 sprint</t>
        </is>
      </c>
      <c r="F11" s="65" t="inlineStr">
        <is>
          <t>Direct bill impact</t>
        </is>
      </c>
    </row>
    <row r="12" ht="44" customHeight="1" s="52">
      <c r="A12" s="94" t="inlineStr">
        <is>
          <t>Development</t>
        </is>
      </c>
      <c r="B12" s="81" t="inlineStr">
        <is>
          <t>Privacy/logging hygiene</t>
        </is>
      </c>
      <c r="C12" s="85" t="inlineStr">
        <is>
          <t>Medium</t>
        </is>
      </c>
      <c r="D12" s="81" t="inlineStr">
        <is>
          <t>Code review</t>
        </is>
      </c>
      <c r="E12" s="81" t="inlineStr">
        <is>
          <t>1-2 sprints</t>
        </is>
      </c>
      <c r="F12" s="81" t="inlineStr">
        <is>
          <t>Compliance</t>
        </is>
      </c>
    </row>
    <row r="13" ht="44" customHeight="1" s="52">
      <c r="A13" s="97" t="inlineStr">
        <is>
          <t>Post-Development</t>
        </is>
      </c>
      <c r="B13" s="65" t="inlineStr">
        <is>
          <t>Production outage / pool exhaustion</t>
        </is>
      </c>
      <c r="C13" s="85" t="inlineStr">
        <is>
          <t>Critical</t>
        </is>
      </c>
      <c r="D13" s="65" t="inlineStr">
        <is>
          <t>Monitoring / alert</t>
        </is>
      </c>
      <c r="E13" s="65" t="inlineStr">
        <is>
          <t>Immediate (&lt;1h)</t>
        </is>
      </c>
      <c r="F13" s="65" t="inlineStr">
        <is>
          <t>Hypercare SLA</t>
        </is>
      </c>
    </row>
    <row r="14" ht="44" customHeight="1" s="52">
      <c r="A14" s="97" t="inlineStr">
        <is>
          <t>Post-Development</t>
        </is>
      </c>
      <c r="B14" s="81" t="inlineStr">
        <is>
          <t>Payment webhook integrity</t>
        </is>
      </c>
      <c r="C14" s="85" t="inlineStr">
        <is>
          <t>Critical</t>
        </is>
      </c>
      <c r="D14" s="81" t="inlineStr">
        <is>
          <t>Security test</t>
        </is>
      </c>
      <c r="E14" s="81" t="inlineStr">
        <is>
          <t>Immediate</t>
        </is>
      </c>
      <c r="F14" s="81" t="inlineStr">
        <is>
          <t>Financial loss</t>
        </is>
      </c>
    </row>
    <row r="15" ht="44" customHeight="1" s="52">
      <c r="A15" s="97" t="inlineStr">
        <is>
          <t>Post-Development</t>
        </is>
      </c>
      <c r="B15" s="65" t="inlineStr">
        <is>
          <t>Abuse / DoS / cost spike</t>
        </is>
      </c>
      <c r="C15" s="88" t="inlineStr">
        <is>
          <t>High</t>
        </is>
      </c>
      <c r="D15" s="65" t="inlineStr">
        <is>
          <t>Monitoring / WAF</t>
        </is>
      </c>
      <c r="E15" s="65" t="inlineStr">
        <is>
          <t>&lt; 24h</t>
        </is>
      </c>
      <c r="F15" s="65" t="inlineStr">
        <is>
          <t>Cost + availability</t>
        </is>
      </c>
    </row>
    <row r="16" ht="44" customHeight="1" s="52">
      <c r="A16" s="97" t="inlineStr">
        <is>
          <t>Post-Development</t>
        </is>
      </c>
      <c r="B16" s="81" t="inlineStr">
        <is>
          <t>Cost monitoring/alerting</t>
        </is>
      </c>
      <c r="C16" s="91" t="inlineStr">
        <is>
          <t>Medium</t>
        </is>
      </c>
      <c r="D16" s="81" t="inlineStr">
        <is>
          <t>Dashboards</t>
        </is>
      </c>
      <c r="E16" s="81" t="inlineStr">
        <is>
          <t>1-2 sprints</t>
        </is>
      </c>
      <c r="F16" s="81" t="inlineStr">
        <is>
          <t>Late detection</t>
        </is>
      </c>
    </row>
    <row r="17" ht="44" customHeight="1" s="52">
      <c r="A17" s="97" t="inlineStr">
        <is>
          <t>Post-Development</t>
        </is>
      </c>
      <c r="B17" s="65" t="inlineStr">
        <is>
          <t>Redis HA / SPOF</t>
        </is>
      </c>
      <c r="C17" s="88" t="inlineStr">
        <is>
          <t>High</t>
        </is>
      </c>
      <c r="D17" s="65" t="inlineStr">
        <is>
          <t>Infra review</t>
        </is>
      </c>
      <c r="E17" s="65" t="inlineStr">
        <is>
          <t>&lt; 1 sprint</t>
        </is>
      </c>
      <c r="F17" s="65" t="inlineStr">
        <is>
          <t>Multi-control failure</t>
        </is>
      </c>
    </row>
    <row r="18" ht="44" customHeight="1" s="52">
      <c r="A18" s="97" t="inlineStr">
        <is>
          <t>Post-Development</t>
        </is>
      </c>
      <c r="B18" s="81" t="inlineStr">
        <is>
          <t>External dependency failure</t>
        </is>
      </c>
      <c r="C18" s="91" t="inlineStr">
        <is>
          <t>Medium</t>
        </is>
      </c>
      <c r="D18" s="81" t="inlineStr">
        <is>
          <t>Retries/alerts</t>
        </is>
      </c>
      <c r="E18" s="81" t="inlineStr">
        <is>
          <t>1-2 sprints</t>
        </is>
      </c>
      <c r="F18" s="81" t="inlineStr">
        <is>
          <t>Data loss/UX</t>
        </is>
      </c>
    </row>
    <row r="19" ht="44" customHeight="1" s="52">
      <c r="A19" s="97" t="inlineStr">
        <is>
          <t>Post-Development</t>
        </is>
      </c>
      <c r="B19" s="65" t="inlineStr">
        <is>
          <t>Tenant isolation regression</t>
        </is>
      </c>
      <c r="C19" s="85" t="inlineStr">
        <is>
          <t>Critical</t>
        </is>
      </c>
      <c r="D19" s="65" t="inlineStr">
        <is>
          <t>Security test</t>
        </is>
      </c>
      <c r="E19" s="65" t="inlineStr">
        <is>
          <t>Immediate</t>
        </is>
      </c>
      <c r="F19" s="65" t="inlineStr">
        <is>
          <t>Data breach</t>
        </is>
      </c>
    </row>
    <row r="20" ht="44" customHeight="1" s="52">
      <c r="A20" s="97" t="inlineStr">
        <is>
          <t>Post-Development</t>
        </is>
      </c>
      <c r="B20" s="81" t="inlineStr">
        <is>
          <t>Observability gaps</t>
        </is>
      </c>
      <c r="C20" s="94" t="inlineStr">
        <is>
          <t>Low</t>
        </is>
      </c>
      <c r="D20" s="81" t="inlineStr">
        <is>
          <t>Metrics</t>
        </is>
      </c>
      <c r="E20" s="81" t="inlineStr">
        <is>
          <t>Next sprint</t>
        </is>
      </c>
      <c r="F20" s="81" t="inlineStr">
        <is>
          <t>Slow detection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tabSelected="1" workbookViewId="0">
      <selection activeCell="E3" sqref="E3"/>
    </sheetView>
  </sheetViews>
  <sheetFormatPr baseColWidth="10" defaultColWidth="8.83203125" defaultRowHeight="15"/>
  <cols>
    <col width="22" customWidth="1" style="52" min="1" max="1"/>
    <col width="80" customWidth="1" style="52" min="2" max="2"/>
  </cols>
  <sheetData>
    <row r="1" ht="34" customHeight="1" s="52">
      <c r="A1" s="61" t="inlineStr">
        <is>
          <t xml:space="preserve">  How to Use This Tracker</t>
        </is>
      </c>
    </row>
    <row r="3" ht="80" customHeight="1" s="52">
      <c r="A3" s="62" t="inlineStr">
        <is>
          <t xml:space="preserve"> Issue Tracker</t>
        </is>
      </c>
      <c r="B3" s="49" t="inlineStr">
        <is>
          <t>Main working sheet. Add every bug/error here.
• Use dropdown menus for Phase, Priority and Status columns.
• ID is auto-assigned (BE-001, BE-002 …); enter dates in DD/MM/YYYY.
• Time to Fix calculates automatically once Reported &amp; Resolved dates are filled.
• Keep 'Resolution Notes' updated — the team will use it as a knowledge base.</t>
        </is>
      </c>
    </row>
    <row r="4" ht="80" customHeight="1" s="52">
      <c r="A4" s="62" t="inlineStr">
        <is>
          <t>Phase Plan</t>
        </is>
      </c>
      <c r="B4" s="50" t="inlineStr">
        <is>
          <t>High-level delivery roadmap.
• Add Start and End dates for each milestone — Duration auto-calculates.
• Use the Status dropdown (Not Started / In Progress / Completed / Blocked / Deferred).
• Update regularly during sprint reviews.</t>
        </is>
      </c>
    </row>
    <row r="5" ht="80" customHeight="1" s="52">
      <c r="A5" s="62" t="inlineStr">
        <is>
          <t xml:space="preserve"> Priority Matrix</t>
        </is>
      </c>
      <c r="B5" s="49" t="inlineStr">
        <is>
          <t>Reference sheet — do not edit.
• Defines what Critical / High / Medium / Low mean for this project.
• Response and Resolution SLAs are binding during Hypercare (30 days post-launch).
• Use the colour legend at the bottom when reviewing any sheet.</t>
        </is>
      </c>
    </row>
    <row r="6" ht="80" customHeight="1" s="52">
      <c r="A6" s="62" t="inlineStr">
        <is>
          <t xml:space="preserve"> Dashboard</t>
        </is>
      </c>
      <c r="B6" s="50" t="inlineStr">
        <is>
          <t>Auto-calculated summary — do not edit directly.
• Counts update as you fill in the Issue Tracker.
• Share a screenshot of this tab in weekly status reports.
• If counts look wrong, ensure Phase / Priority / Status values match the dropdowns exactly.</t>
        </is>
      </c>
    </row>
    <row r="7" ht="80" customHeight="1" s="52">
      <c r="A7" s="62" t="inlineStr">
        <is>
          <t xml:space="preserve"> Timeframes</t>
        </is>
      </c>
      <c r="B7" s="49" t="inlineStr">
        <is>
          <t>SLA reference for every combination of phase and priority.
• Use this when setting Target Dates in the Issue Tracker.
• Deviation from these windows must be approved by the Tech Lead and logged in Remarks.</t>
        </is>
      </c>
    </row>
    <row r="8" ht="80" customHeight="1" s="52">
      <c r="A8" s="62" t="inlineStr">
        <is>
          <t>How to Use</t>
        </is>
      </c>
      <c r="B8" s="50" t="inlineStr">
        <is>
          <t>This sheet. Pin to your browser tab and share with all team members before the first sprint.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2026-06-10T10:45:32Z</dcterms:created>
  <dcterms:modified xsi:type="dcterms:W3CDTF">2026-06-10T11:07:12Z</dcterms:modified>
  <cp:lastModifiedBy>Vishal  Ajwani</cp:lastModifiedBy>
</cp:coreProperties>
</file>